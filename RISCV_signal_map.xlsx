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chool\Fall 2026\CprE3810\Project\CPRE381\"/>
    </mc:Choice>
  </mc:AlternateContent>
  <xr:revisionPtr revIDLastSave="0" documentId="8_{4051278D-DC22-4346-8DFD-61F09F126983}" xr6:coauthVersionLast="47" xr6:coauthVersionMax="47" xr10:uidLastSave="{00000000-0000-0000-0000-000000000000}"/>
  <bookViews>
    <workbookView xWindow="4410" yWindow="3435" windowWidth="21600" windowHeight="12645" xr2:uid="{E8442F5D-B1F4-48B9-A62B-BBCBB333E7C5}"/>
  </bookViews>
  <sheets>
    <sheet name="Signal Map" sheetId="1" r:id="rId1"/>
    <sheet name="ALUCtrl_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C39" i="1" l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</calcChain>
</file>

<file path=xl/sharedStrings.xml><?xml version="1.0" encoding="utf-8"?>
<sst xmlns="http://schemas.openxmlformats.org/spreadsheetml/2006/main" count="835" uniqueCount="179">
  <si>
    <t>ALUCtrl code key (ALU_U : alu)</t>
  </si>
  <si>
    <t>Source: ALU/ALU.vhd. AluCtrl(3:2) picks the result (00 add/sub, 01 less-than, 10 logic, 11 shift). AluCtrl(1) = unsigned compare / logic select / arithmetic shift, AluCtrl(0) = subtract / logic select / shift right.</t>
  </si>
  <si>
    <t>ALUCtrl</t>
  </si>
  <si>
    <t>ALU operation</t>
  </si>
  <si>
    <t>0000</t>
  </si>
  <si>
    <t>add</t>
  </si>
  <si>
    <t>0001</t>
  </si>
  <si>
    <t>sub</t>
  </si>
  <si>
    <t>0010</t>
  </si>
  <si>
    <t>add (unsigned flag set, sum unchanged)</t>
  </si>
  <si>
    <t>0011</t>
  </si>
  <si>
    <t>sub (unsigned flag set)</t>
  </si>
  <si>
    <t>0100</t>
  </si>
  <si>
    <t>less-than, signed, no subtract (not produced)</t>
  </si>
  <si>
    <t>0101</t>
  </si>
  <si>
    <t>slt (signed less-than)</t>
  </si>
  <si>
    <t>0110</t>
  </si>
  <si>
    <t>less-than, unsigned, no subtract (not produced)</t>
  </si>
  <si>
    <t>0111</t>
  </si>
  <si>
    <t>sltu (unsigned less-than)</t>
  </si>
  <si>
    <t>1000</t>
  </si>
  <si>
    <t>and</t>
  </si>
  <si>
    <t>1001</t>
  </si>
  <si>
    <t>or</t>
  </si>
  <si>
    <t>1010</t>
  </si>
  <si>
    <t>xor</t>
  </si>
  <si>
    <t>1011</t>
  </si>
  <si>
    <t>0 (not produced)</t>
  </si>
  <si>
    <t>1100</t>
  </si>
  <si>
    <t>sll</t>
  </si>
  <si>
    <t>1101</t>
  </si>
  <si>
    <t>srl</t>
  </si>
  <si>
    <t>1110</t>
  </si>
  <si>
    <t>sll (arith ignored on left shift)</t>
  </si>
  <si>
    <t>1111</t>
  </si>
  <si>
    <t>sra</t>
  </si>
  <si>
    <t>Signal</t>
  </si>
  <si>
    <t>Encoding (source: Control Logic/Control.vhdl)</t>
  </si>
  <si>
    <t>ALUOp</t>
  </si>
  <si>
    <t>00 = add (loads, stores, jalr, lui, auipc); 01 = branch; 10 = R-type, decode funct3/funct7; 11 = I-type ALU, decode funct3</t>
  </si>
  <si>
    <t>ALUSrcA</t>
  </si>
  <si>
    <t>00 = rs1; 01 = PC; 10 = zero  (ALUSRCA_MUX, ALU input A)</t>
  </si>
  <si>
    <t>ALUSrc</t>
  </si>
  <si>
    <t>0 = rs2; 1 = immediate  (ALUSRC_MUX, ALU input B)</t>
  </si>
  <si>
    <t>RegWrite</t>
  </si>
  <si>
    <t>1 = write rd</t>
  </si>
  <si>
    <t>MemRead</t>
  </si>
  <si>
    <t>1 = load (not connected: mem reads every cycle)</t>
  </si>
  <si>
    <t>MemWrite</t>
  </si>
  <si>
    <t>1 = DMEM we</t>
  </si>
  <si>
    <t>MemtoReg</t>
  </si>
  <si>
    <t>0 = ALU result; 1 = LOAD_U data  (MEMTOREG_MUX)</t>
  </si>
  <si>
    <t>AndLink</t>
  </si>
  <si>
    <t>1 = write PC+4 to rd  (LINK_MUX)</t>
  </si>
  <si>
    <t>Branch</t>
  </si>
  <si>
    <t>1 = conditional branch; BRANCH_U decides taken from funct3</t>
  </si>
  <si>
    <t>Jump</t>
  </si>
  <si>
    <t>1 = jal, next PC = PC + imm</t>
  </si>
  <si>
    <t>JumpReg</t>
  </si>
  <si>
    <t>1 = jalr, next PC = (rs1 + imm) with bit 0 cleared</t>
  </si>
  <si>
    <t>Halt</t>
  </si>
  <si>
    <t>1 = wfi; drives oHalt and stops the PC</t>
  </si>
  <si>
    <t>Notes</t>
  </si>
  <si>
    <t>Columns T-Y on Signal Map are formulas: they apply the gate equations from ALU Control/ALUCtrlr.vhd to funct3, Inst[30] and ALUOp, then look up the code in the table above.</t>
  </si>
  <si>
    <t>x = the bit belongs to the immediate, so its value depends on the program. The formulas treat x as 0. The only places it matters (lhu, bge) change ALUCtrl(1) alone, which does not change the add result those instructions use.</t>
  </si>
  <si>
    <t>Control signal values are copied from the case statement in Control Logic/Control.vhdl; opcode, funct3 and funct7 come from the RV32I base encoding.</t>
  </si>
  <si>
    <t>Green cells on Signal Map are control signals equal to 1.</t>
  </si>
  <si>
    <t>Instruction encoding</t>
  </si>
  <si>
    <t>CONTROL : control_unit outputs</t>
  </si>
  <si>
    <t>IMM : immgen</t>
  </si>
  <si>
    <t>ALU_CTRL : aluctrlr output (formulas)</t>
  </si>
  <si>
    <t>Resulting datapath behavior</t>
  </si>
  <si>
    <t>Instruction</t>
  </si>
  <si>
    <t>Format</t>
  </si>
  <si>
    <t>Opcode [6:0]</t>
  </si>
  <si>
    <t>funct3 [14:12]</t>
  </si>
  <si>
    <t>funct7 [31:25]</t>
  </si>
  <si>
    <t>Inst[30] seen by ALU_CTRL</t>
  </si>
  <si>
    <t>Immediate format</t>
  </si>
  <si>
    <t>ALUCtrl(3)</t>
  </si>
  <si>
    <t>ALUCtrl(2)</t>
  </si>
  <si>
    <t>ALUCtrl(1)</t>
  </si>
  <si>
    <t>ALUCtrl(0)</t>
  </si>
  <si>
    <t>ALU input A (ALUSRCA_MUX)</t>
  </si>
  <si>
    <t>ALU input B (ALUSRC_MUX)</t>
  </si>
  <si>
    <t>Next PC (FETCH)</t>
  </si>
  <si>
    <t>Written to rd (LINK_MUX)</t>
  </si>
  <si>
    <t>Memory / branch detail</t>
  </si>
  <si>
    <t>R</t>
  </si>
  <si>
    <t>0110011</t>
  </si>
  <si>
    <t>000</t>
  </si>
  <si>
    <t>0000000</t>
  </si>
  <si>
    <t>0</t>
  </si>
  <si>
    <t>10</t>
  </si>
  <si>
    <t>00</t>
  </si>
  <si>
    <t>1</t>
  </si>
  <si>
    <t>none (0)</t>
  </si>
  <si>
    <t>0100000</t>
  </si>
  <si>
    <t>111</t>
  </si>
  <si>
    <t>110</t>
  </si>
  <si>
    <t>100</t>
  </si>
  <si>
    <t>slt</t>
  </si>
  <si>
    <t>010</t>
  </si>
  <si>
    <t>001</t>
  </si>
  <si>
    <t>101</t>
  </si>
  <si>
    <t>addi</t>
  </si>
  <si>
    <t>I</t>
  </si>
  <si>
    <t>0010011</t>
  </si>
  <si>
    <t>imm[11:5]</t>
  </si>
  <si>
    <t>x</t>
  </si>
  <si>
    <t>11</t>
  </si>
  <si>
    <t>andi</t>
  </si>
  <si>
    <t>ori</t>
  </si>
  <si>
    <t>xori</t>
  </si>
  <si>
    <t>slti</t>
  </si>
  <si>
    <t>sltiu</t>
  </si>
  <si>
    <t>011</t>
  </si>
  <si>
    <t>slli</t>
  </si>
  <si>
    <t>I (shamt = imm[4:0])</t>
  </si>
  <si>
    <t>srli</t>
  </si>
  <si>
    <t>srai</t>
  </si>
  <si>
    <t>lb</t>
  </si>
  <si>
    <t>0000011</t>
  </si>
  <si>
    <t>LOAD_U: byte at addr[1:0], sign-extended</t>
  </si>
  <si>
    <t>lh</t>
  </si>
  <si>
    <t>LOAD_U: halfword at addr[1], sign-extended</t>
  </si>
  <si>
    <t>lw</t>
  </si>
  <si>
    <t>LOAD_U: full word</t>
  </si>
  <si>
    <t>lbu</t>
  </si>
  <si>
    <t>LOAD_U: byte at addr[1:0], zero-extended</t>
  </si>
  <si>
    <t>ALUCtrl(1) is set but only affects slt, so the sum is unchanged</t>
  </si>
  <si>
    <t>lhu</t>
  </si>
  <si>
    <t>LOAD_U: halfword at addr[1], zero-extended</t>
  </si>
  <si>
    <t>ALUCtrl(1) follows imm bit 30; only affects slt, so the sum is unchanged</t>
  </si>
  <si>
    <t>sb</t>
  </si>
  <si>
    <t>S</t>
  </si>
  <si>
    <t>0100011</t>
  </si>
  <si>
    <t>STORE_U: be = 0001/0010/0100/1000 by addr[1:0]; rs2[7:0] copied to every byte</t>
  </si>
  <si>
    <t>sh</t>
  </si>
  <si>
    <t>STORE_U: be = 0011 or 1100 by addr[1]; rs2[15:0] copied to both halves</t>
  </si>
  <si>
    <t>sw</t>
  </si>
  <si>
    <t>STORE_U: be = 1111; rs2 unchanged</t>
  </si>
  <si>
    <t>beq</t>
  </si>
  <si>
    <t>B</t>
  </si>
  <si>
    <t>1100011</t>
  </si>
  <si>
    <t>imm</t>
  </si>
  <si>
    <t>01</t>
  </si>
  <si>
    <t>BRANCH_U: taken if rs1 = rs2 (s_equal)</t>
  </si>
  <si>
    <t>ALU result unused; comparison is done in BRANCH_U</t>
  </si>
  <si>
    <t>bne</t>
  </si>
  <si>
    <t>BRANCH_U: taken if rs1 /= rs2 (not s_equal)</t>
  </si>
  <si>
    <t>blt</t>
  </si>
  <si>
    <t>BRANCH_U: taken if rs1 &lt; rs2 signed (s_less_signed)</t>
  </si>
  <si>
    <t>bge</t>
  </si>
  <si>
    <t>BRANCH_U: taken if rs1 &gt;= rs2 signed (not s_less_signed)</t>
  </si>
  <si>
    <t>bltu</t>
  </si>
  <si>
    <t>BRANCH_U: taken if rs1 &lt; rs2 unsigned (s_less_unsigned)</t>
  </si>
  <si>
    <t>bgeu</t>
  </si>
  <si>
    <t>BRANCH_U: taken if rs1 &gt;= rs2 unsigned (not s_less_unsigned)</t>
  </si>
  <si>
    <t>jal</t>
  </si>
  <si>
    <t>J</t>
  </si>
  <si>
    <t>1101111</t>
  </si>
  <si>
    <t>xxx</t>
  </si>
  <si>
    <t>ALU result unused; funct3 bits belong to the immediate</t>
  </si>
  <si>
    <t>jalr</t>
  </si>
  <si>
    <t>1100111</t>
  </si>
  <si>
    <t>ALU computes rs1 + imm for the jump target</t>
  </si>
  <si>
    <t>lui</t>
  </si>
  <si>
    <t>U</t>
  </si>
  <si>
    <t>0110111</t>
  </si>
  <si>
    <t>funct3 bits belong to the immediate</t>
  </si>
  <si>
    <t>auipc</t>
  </si>
  <si>
    <t>0010111</t>
  </si>
  <si>
    <t>wfi</t>
  </si>
  <si>
    <t>I (SYSTEM)</t>
  </si>
  <si>
    <t>1110011</t>
  </si>
  <si>
    <t>0001000</t>
  </si>
  <si>
    <t>oHalt = 1; G_PC_WE clears the PC write enable</t>
  </si>
  <si>
    <t>Used as HALT; encoding 0x10500073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</si>
</sst>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1A7FC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ECF7EE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AEEEE"/>
        <bgColor indexed="64"/>
      </patternFill>
    </fill>
    <fill>
      <patternFill patternType="solid">
        <fgColor rgb="FFF3EDFA"/>
        <bgColor indexed="64"/>
      </patternFill>
    </fill>
    <fill>
      <patternFill patternType="solid">
        <fgColor rgb="FFE8F6F6"/>
        <bgColor indexed="64"/>
      </patternFill>
    </fill>
    <fill>
      <patternFill patternType="solid">
        <fgColor rgb="FFF7F7E6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49" fontId="3" fillId="0" borderId="0" xfId="0" applyNumberFormat="1" applyFont="1"/>
    <xf numFmtId="49" fontId="1" fillId="0" borderId="0" xfId="0" applyNumberFormat="1" applyFont="1"/>
    <xf numFmtId="49" fontId="2" fillId="0" borderId="0" xfId="0" applyNumberFormat="1" applyFont="1"/>
    <xf numFmtId="49" fontId="4" fillId="2" borderId="1" xfId="0" applyNumberFormat="1" applyFont="1" applyFill="1" applyBorder="1"/>
    <xf numFmtId="0" fontId="4" fillId="2" borderId="1" xfId="0" applyFont="1" applyFill="1" applyBorder="1"/>
    <xf numFmtId="49" fontId="1" fillId="0" borderId="1" xfId="0" applyNumberFormat="1" applyFont="1" applyBorder="1"/>
    <xf numFmtId="0" fontId="1" fillId="0" borderId="1" xfId="0" applyFont="1" applyBorder="1"/>
    <xf numFmtId="49" fontId="4" fillId="3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49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1" fillId="10" borderId="1" xfId="0" applyNumberFormat="1" applyFont="1" applyFill="1" applyBorder="1"/>
    <xf numFmtId="0" fontId="1" fillId="10" borderId="1" xfId="0" applyFont="1" applyFill="1" applyBorder="1"/>
    <xf numFmtId="49" fontId="1" fillId="11" borderId="1" xfId="0" applyNumberFormat="1" applyFont="1" applyFill="1" applyBorder="1"/>
    <xf numFmtId="0" fontId="1" fillId="11" borderId="1" xfId="0" applyFont="1" applyFill="1" applyBorder="1"/>
    <xf numFmtId="49" fontId="1" fillId="12" borderId="1" xfId="0" applyNumberFormat="1" applyFont="1" applyFill="1" applyBorder="1"/>
    <xf numFmtId="0" fontId="1" fillId="12" borderId="1" xfId="0" applyFont="1" applyFill="1" applyBorder="1"/>
    <xf numFmtId="49" fontId="1" fillId="13" borderId="1" xfId="0" applyNumberFormat="1" applyFont="1" applyFill="1" applyBorder="1"/>
    <xf numFmtId="0" fontId="1" fillId="13" borderId="1" xfId="0" applyFont="1" applyFill="1" applyBorder="1"/>
    <xf numFmtId="49" fontId="1" fillId="14" borderId="1" xfId="0" applyNumberFormat="1" applyFont="1" applyFill="1" applyBorder="1"/>
    <xf numFmtId="0" fontId="1" fillId="14" borderId="1" xfId="0" applyFont="1" applyFill="1" applyBorder="1"/>
    <xf numFmtId="49" fontId="1" fillId="15" borderId="1" xfId="0" applyNumberFormat="1" applyFont="1" applyFill="1" applyBorder="1"/>
    <xf numFmtId="0" fontId="1" fillId="15" borderId="1" xfId="0" applyFont="1" applyFill="1" applyBorder="1"/>
    <xf numFmtId="49" fontId="1" fillId="16" borderId="1" xfId="0" applyNumberFormat="1" applyFont="1" applyFill="1" applyBorder="1"/>
    <xf numFmtId="0" fontId="1" fillId="16" borderId="1" xfId="0" applyFont="1" applyFill="1" applyBorder="1"/>
    <xf numFmtId="49" fontId="1" fillId="17" borderId="1" xfId="0" applyNumberFormat="1" applyFont="1" applyFill="1" applyBorder="1"/>
    <xf numFmtId="0" fontId="1" fillId="17" borderId="1" xfId="0" applyFont="1" applyFill="1" applyBorder="1"/>
    <xf numFmtId="49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49" fontId="1" fillId="13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49" fontId="1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49" fontId="1" fillId="16" borderId="1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49" fontId="2" fillId="10" borderId="1" xfId="0" applyNumberFormat="1" applyFont="1" applyFill="1" applyBorder="1"/>
    <xf numFmtId="49" fontId="2" fillId="11" borderId="1" xfId="0" applyNumberFormat="1" applyFont="1" applyFill="1" applyBorder="1"/>
    <xf numFmtId="49" fontId="2" fillId="12" borderId="1" xfId="0" applyNumberFormat="1" applyFont="1" applyFill="1" applyBorder="1"/>
    <xf numFmtId="49" fontId="2" fillId="13" borderId="1" xfId="0" applyNumberFormat="1" applyFont="1" applyFill="1" applyBorder="1"/>
    <xf numFmtId="49" fontId="2" fillId="14" borderId="1" xfId="0" applyNumberFormat="1" applyFont="1" applyFill="1" applyBorder="1"/>
    <xf numFmtId="49" fontId="2" fillId="15" borderId="1" xfId="0" applyNumberFormat="1" applyFont="1" applyFill="1" applyBorder="1"/>
    <xf numFmtId="49" fontId="2" fillId="16" borderId="1" xfId="0" applyNumberFormat="1" applyFont="1" applyFill="1" applyBorder="1"/>
    <xf numFmtId="49" fontId="2" fillId="17" borderId="1" xfId="0" applyNumberFormat="1" applyFont="1" applyFill="1" applyBorder="1"/>
    <xf numFmtId="0" fontId="2" fillId="9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"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686B-CB32-4C70-B3BD-329C3E2B5F3D}">
  <dimension ref="A1:AE39"/>
  <sheetViews>
    <sheetView tabSelected="1" workbookViewId="0">
      <pane xSplit="1" ySplit="2" topLeftCell="B3" activePane="bottomRight" state="frozenSplit"/>
      <selection pane="bottomLeft" activeCell="A3" sqref="A3"/>
      <selection pane="topRight" activeCell="B1" sqref="B1"/>
      <selection pane="bottomRight" sqref="A1:F1"/>
    </sheetView>
  </sheetViews>
  <sheetFormatPr defaultRowHeight="12.75" x14ac:dyDescent="0.2"/>
  <cols>
    <col min="1" max="1" width="11.7109375" style="3" customWidth="1"/>
    <col min="2" max="2" width="10.7109375" style="3" customWidth="1"/>
    <col min="3" max="3" width="11.7109375" style="3" customWidth="1"/>
    <col min="4" max="4" width="9.7109375" style="3" customWidth="1"/>
    <col min="5" max="6" width="11.7109375" style="3" customWidth="1"/>
    <col min="7" max="7" width="8.7109375" style="3" customWidth="1"/>
    <col min="8" max="8" width="9.7109375" style="3" customWidth="1"/>
    <col min="9" max="9" width="8.7109375" style="3" customWidth="1"/>
    <col min="10" max="12" width="9.7109375" style="3" customWidth="1"/>
    <col min="13" max="13" width="10.7109375" style="3" customWidth="1"/>
    <col min="14" max="14" width="9.7109375" style="3" customWidth="1"/>
    <col min="15" max="15" width="8.7109375" style="3" customWidth="1"/>
    <col min="16" max="16" width="7.7109375" style="3" customWidth="1"/>
    <col min="17" max="17" width="9.7109375" style="3" customWidth="1"/>
    <col min="18" max="18" width="7.7109375" style="3" customWidth="1"/>
    <col min="19" max="19" width="18.7109375" style="3" customWidth="1"/>
    <col min="20" max="23" width="6.7109375" style="1" customWidth="1"/>
    <col min="24" max="24" width="9.7109375" style="1" customWidth="1"/>
    <col min="25" max="25" width="30.7109375" style="1" customWidth="1"/>
    <col min="26" max="26" width="18.7109375" style="1" customWidth="1"/>
    <col min="27" max="27" width="20.7109375" style="1" customWidth="1"/>
    <col min="28" max="28" width="28.7109375" style="1" customWidth="1"/>
    <col min="29" max="29" width="20.7109375" style="1" customWidth="1"/>
    <col min="30" max="30" width="58.7109375" style="3" customWidth="1"/>
    <col min="31" max="31" width="55.7109375" style="3" customWidth="1"/>
    <col min="32" max="16384" width="9.140625" style="1"/>
  </cols>
  <sheetData>
    <row r="1" spans="1:31" x14ac:dyDescent="0.2">
      <c r="A1" s="9" t="s">
        <v>67</v>
      </c>
      <c r="B1" s="9"/>
      <c r="C1" s="9"/>
      <c r="D1" s="9"/>
      <c r="E1" s="9"/>
      <c r="F1" s="9"/>
      <c r="G1" s="10" t="s">
        <v>68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 t="s">
        <v>69</v>
      </c>
      <c r="T1" s="12" t="s">
        <v>70</v>
      </c>
      <c r="U1" s="12"/>
      <c r="V1" s="12"/>
      <c r="W1" s="12"/>
      <c r="X1" s="12"/>
      <c r="Y1" s="12"/>
      <c r="Z1" s="13" t="s">
        <v>71</v>
      </c>
      <c r="AA1" s="13"/>
      <c r="AB1" s="13"/>
      <c r="AC1" s="13"/>
      <c r="AD1" s="13"/>
      <c r="AE1" s="14" t="s">
        <v>62</v>
      </c>
    </row>
    <row r="2" spans="1:31" ht="62.1" customHeight="1" x14ac:dyDescent="0.2">
      <c r="A2" s="15" t="s">
        <v>72</v>
      </c>
      <c r="B2" s="15" t="s">
        <v>73</v>
      </c>
      <c r="C2" s="15" t="s">
        <v>74</v>
      </c>
      <c r="D2" s="15" t="s">
        <v>75</v>
      </c>
      <c r="E2" s="15" t="s">
        <v>76</v>
      </c>
      <c r="F2" s="15" t="s">
        <v>77</v>
      </c>
      <c r="G2" s="15" t="s">
        <v>38</v>
      </c>
      <c r="H2" s="15" t="s">
        <v>40</v>
      </c>
      <c r="I2" s="15" t="s">
        <v>42</v>
      </c>
      <c r="J2" s="15" t="s">
        <v>44</v>
      </c>
      <c r="K2" s="15" t="s">
        <v>46</v>
      </c>
      <c r="L2" s="15" t="s">
        <v>48</v>
      </c>
      <c r="M2" s="15" t="s">
        <v>50</v>
      </c>
      <c r="N2" s="15" t="s">
        <v>52</v>
      </c>
      <c r="O2" s="15" t="s">
        <v>54</v>
      </c>
      <c r="P2" s="15" t="s">
        <v>56</v>
      </c>
      <c r="Q2" s="15" t="s">
        <v>58</v>
      </c>
      <c r="R2" s="15" t="s">
        <v>60</v>
      </c>
      <c r="S2" s="15" t="s">
        <v>78</v>
      </c>
      <c r="T2" s="57" t="s">
        <v>79</v>
      </c>
      <c r="U2" s="57" t="s">
        <v>80</v>
      </c>
      <c r="V2" s="57" t="s">
        <v>81</v>
      </c>
      <c r="W2" s="57" t="s">
        <v>82</v>
      </c>
      <c r="X2" s="16" t="s">
        <v>2</v>
      </c>
      <c r="Y2" s="16" t="s">
        <v>3</v>
      </c>
      <c r="Z2" s="16" t="s">
        <v>83</v>
      </c>
      <c r="AA2" s="16" t="s">
        <v>84</v>
      </c>
      <c r="AB2" s="16" t="s">
        <v>85</v>
      </c>
      <c r="AC2" s="16" t="s">
        <v>86</v>
      </c>
      <c r="AD2" s="15" t="s">
        <v>87</v>
      </c>
      <c r="AE2" s="15" t="s">
        <v>62</v>
      </c>
    </row>
    <row r="3" spans="1:31" x14ac:dyDescent="0.2">
      <c r="A3" s="49" t="s">
        <v>5</v>
      </c>
      <c r="B3" s="33" t="s">
        <v>88</v>
      </c>
      <c r="C3" s="33" t="s">
        <v>89</v>
      </c>
      <c r="D3" s="33" t="s">
        <v>90</v>
      </c>
      <c r="E3" s="33" t="s">
        <v>91</v>
      </c>
      <c r="F3" s="33" t="s">
        <v>92</v>
      </c>
      <c r="G3" s="33" t="s">
        <v>93</v>
      </c>
      <c r="H3" s="33" t="s">
        <v>94</v>
      </c>
      <c r="I3" s="33" t="s">
        <v>92</v>
      </c>
      <c r="J3" s="33" t="s">
        <v>95</v>
      </c>
      <c r="K3" s="33" t="s">
        <v>92</v>
      </c>
      <c r="L3" s="33" t="s">
        <v>92</v>
      </c>
      <c r="M3" s="33" t="s">
        <v>92</v>
      </c>
      <c r="N3" s="33" t="s">
        <v>92</v>
      </c>
      <c r="O3" s="33" t="s">
        <v>92</v>
      </c>
      <c r="P3" s="33" t="s">
        <v>92</v>
      </c>
      <c r="Q3" s="33" t="s">
        <v>92</v>
      </c>
      <c r="R3" s="33" t="s">
        <v>92</v>
      </c>
      <c r="S3" s="33" t="s">
        <v>96</v>
      </c>
      <c r="T3" s="34">
        <f>IF(AND(MID($G3,1,1)="1",OR(MID($D3,1,1)="1",AND(NOT(MID($D3,2,1)="1"),MID($D3,3,1)="1"))),1,0)</f>
        <v>0</v>
      </c>
      <c r="U3" s="34">
        <f>IF(AND(MID($G3,1,1)="1",OR(AND(NOT(MID($D3,1,1)="1"),MID($D3,2,1)="1"),AND(NOT(MID($D3,2,1)="1"),MID($D3,3,1)="1"))),1,0)</f>
        <v>0</v>
      </c>
      <c r="V3" s="34">
        <f>IF(OR(AND(NOT(MID($D3,1,1)="1"),MID($D3,2,1)="1",MID($D3,3,1)="1"),AND(MID($D3,1,1)="1",NOT(MID($D3,2,1)="1"),NOT(MID($D3,3,1)="1")),AND(MID($D3,1,1)="1",NOT(MID($D3,2,1)="1"),MID($D3,3,1)="1",$F3="1")),1,0)</f>
        <v>0</v>
      </c>
      <c r="W3" s="34">
        <f>IF(AND(MID($G3,1,1)="1",OR(AND(NOT(MID($D3,1,1)="1"),MID($D3,2,1)="1"),AND(MID($D3,2,1)="1",NOT(MID($D3,3,1)="1")),AND(NOT(MID($D3,1,1)="1"),NOT(MID($D3,2,1)="1"),NOT(MID($D3,3,1)="1"),$F3="1",NOT(MID($G3,2,1)="1")),AND(MID($D3,1,1)="1",NOT(MID($D3,2,1)="1"),MID($D3,3,1)="1"))),1,0)</f>
        <v>0</v>
      </c>
      <c r="X3" s="34" t="str">
        <f>T3&amp;U3&amp;V3&amp;W3</f>
        <v>0000</v>
      </c>
      <c r="Y3" s="18" t="str">
        <f>IFERROR(INDEX(ALUCtrl_Key!$B$5:$B$20,MATCH(X3,ALUCtrl_Key!$A$5:$A$20,0)),"?")</f>
        <v>add</v>
      </c>
      <c r="Z3" s="18" t="str">
        <f>IF(H3="00","rs1 (s_read1)",IF(H3="01","PC (s_pc_out)","0"))</f>
        <v>rs1 (s_read1)</v>
      </c>
      <c r="AA3" s="18" t="str">
        <f>IF(I3="1","immediate (s_immgen)","rs2 (s_read2)")</f>
        <v>rs2 (s_read2)</v>
      </c>
      <c r="AB3" s="18" t="str">
        <f>IF(R3="1","PC (held)",IF(Q3="1","(rs1 + imm) with bit 0 cleared",IF(P3="1","PC + imm",IF(O3="1","PC + imm if taken, else PC + 4","PC + 4"))))</f>
        <v>PC + 4</v>
      </c>
      <c r="AC3" s="18" t="str">
        <f>IF(J3="0","nothing",IF(N3="1","PC + 4",IF(M3="1","load data (LOAD_U)","ALU result")))</f>
        <v>ALU result</v>
      </c>
      <c r="AD3" s="17"/>
      <c r="AE3" s="17"/>
    </row>
    <row r="4" spans="1:31" x14ac:dyDescent="0.2">
      <c r="A4" s="49" t="s">
        <v>7</v>
      </c>
      <c r="B4" s="33" t="s">
        <v>88</v>
      </c>
      <c r="C4" s="33" t="s">
        <v>89</v>
      </c>
      <c r="D4" s="33" t="s">
        <v>90</v>
      </c>
      <c r="E4" s="33" t="s">
        <v>97</v>
      </c>
      <c r="F4" s="33" t="s">
        <v>95</v>
      </c>
      <c r="G4" s="33" t="s">
        <v>93</v>
      </c>
      <c r="H4" s="33" t="s">
        <v>94</v>
      </c>
      <c r="I4" s="33" t="s">
        <v>92</v>
      </c>
      <c r="J4" s="33" t="s">
        <v>95</v>
      </c>
      <c r="K4" s="33" t="s">
        <v>92</v>
      </c>
      <c r="L4" s="33" t="s">
        <v>92</v>
      </c>
      <c r="M4" s="33" t="s">
        <v>92</v>
      </c>
      <c r="N4" s="33" t="s">
        <v>92</v>
      </c>
      <c r="O4" s="33" t="s">
        <v>92</v>
      </c>
      <c r="P4" s="33" t="s">
        <v>92</v>
      </c>
      <c r="Q4" s="33" t="s">
        <v>92</v>
      </c>
      <c r="R4" s="33" t="s">
        <v>92</v>
      </c>
      <c r="S4" s="33" t="s">
        <v>96</v>
      </c>
      <c r="T4" s="34">
        <f>IF(AND(MID($G4,1,1)="1",OR(MID($D4,1,1)="1",AND(NOT(MID($D4,2,1)="1"),MID($D4,3,1)="1"))),1,0)</f>
        <v>0</v>
      </c>
      <c r="U4" s="34">
        <f>IF(AND(MID($G4,1,1)="1",OR(AND(NOT(MID($D4,1,1)="1"),MID($D4,2,1)="1"),AND(NOT(MID($D4,2,1)="1"),MID($D4,3,1)="1"))),1,0)</f>
        <v>0</v>
      </c>
      <c r="V4" s="34">
        <f>IF(OR(AND(NOT(MID($D4,1,1)="1"),MID($D4,2,1)="1",MID($D4,3,1)="1"),AND(MID($D4,1,1)="1",NOT(MID($D4,2,1)="1"),NOT(MID($D4,3,1)="1")),AND(MID($D4,1,1)="1",NOT(MID($D4,2,1)="1"),MID($D4,3,1)="1",$F4="1")),1,0)</f>
        <v>0</v>
      </c>
      <c r="W4" s="34">
        <f>IF(AND(MID($G4,1,1)="1",OR(AND(NOT(MID($D4,1,1)="1"),MID($D4,2,1)="1"),AND(MID($D4,2,1)="1",NOT(MID($D4,3,1)="1")),AND(NOT(MID($D4,1,1)="1"),NOT(MID($D4,2,1)="1"),NOT(MID($D4,3,1)="1"),$F4="1",NOT(MID($G4,2,1)="1")),AND(MID($D4,1,1)="1",NOT(MID($D4,2,1)="1"),MID($D4,3,1)="1"))),1,0)</f>
        <v>1</v>
      </c>
      <c r="X4" s="34" t="str">
        <f>T4&amp;U4&amp;V4&amp;W4</f>
        <v>0001</v>
      </c>
      <c r="Y4" s="18" t="str">
        <f>IFERROR(INDEX(ALUCtrl_Key!$B$5:$B$20,MATCH(X4,ALUCtrl_Key!$A$5:$A$20,0)),"?")</f>
        <v>sub</v>
      </c>
      <c r="Z4" s="18" t="str">
        <f>IF(H4="00","rs1 (s_read1)",IF(H4="01","PC (s_pc_out)","0"))</f>
        <v>rs1 (s_read1)</v>
      </c>
      <c r="AA4" s="18" t="str">
        <f>IF(I4="1","immediate (s_immgen)","rs2 (s_read2)")</f>
        <v>rs2 (s_read2)</v>
      </c>
      <c r="AB4" s="18" t="str">
        <f>IF(R4="1","PC (held)",IF(Q4="1","(rs1 + imm) with bit 0 cleared",IF(P4="1","PC + imm",IF(O4="1","PC + imm if taken, else PC + 4","PC + 4"))))</f>
        <v>PC + 4</v>
      </c>
      <c r="AC4" s="18" t="str">
        <f>IF(J4="0","nothing",IF(N4="1","PC + 4",IF(M4="1","load data (LOAD_U)","ALU result")))</f>
        <v>ALU result</v>
      </c>
      <c r="AD4" s="17"/>
      <c r="AE4" s="17"/>
    </row>
    <row r="5" spans="1:31" x14ac:dyDescent="0.2">
      <c r="A5" s="49" t="s">
        <v>21</v>
      </c>
      <c r="B5" s="33" t="s">
        <v>88</v>
      </c>
      <c r="C5" s="33" t="s">
        <v>89</v>
      </c>
      <c r="D5" s="33" t="s">
        <v>98</v>
      </c>
      <c r="E5" s="33" t="s">
        <v>91</v>
      </c>
      <c r="F5" s="33" t="s">
        <v>92</v>
      </c>
      <c r="G5" s="33" t="s">
        <v>93</v>
      </c>
      <c r="H5" s="33" t="s">
        <v>94</v>
      </c>
      <c r="I5" s="33" t="s">
        <v>92</v>
      </c>
      <c r="J5" s="33" t="s">
        <v>95</v>
      </c>
      <c r="K5" s="33" t="s">
        <v>92</v>
      </c>
      <c r="L5" s="33" t="s">
        <v>92</v>
      </c>
      <c r="M5" s="33" t="s">
        <v>92</v>
      </c>
      <c r="N5" s="33" t="s">
        <v>92</v>
      </c>
      <c r="O5" s="33" t="s">
        <v>92</v>
      </c>
      <c r="P5" s="33" t="s">
        <v>92</v>
      </c>
      <c r="Q5" s="33" t="s">
        <v>92</v>
      </c>
      <c r="R5" s="33" t="s">
        <v>92</v>
      </c>
      <c r="S5" s="33" t="s">
        <v>96</v>
      </c>
      <c r="T5" s="34">
        <f>IF(AND(MID($G5,1,1)="1",OR(MID($D5,1,1)="1",AND(NOT(MID($D5,2,1)="1"),MID($D5,3,1)="1"))),1,0)</f>
        <v>1</v>
      </c>
      <c r="U5" s="34">
        <f>IF(AND(MID($G5,1,1)="1",OR(AND(NOT(MID($D5,1,1)="1"),MID($D5,2,1)="1"),AND(NOT(MID($D5,2,1)="1"),MID($D5,3,1)="1"))),1,0)</f>
        <v>0</v>
      </c>
      <c r="V5" s="34">
        <f>IF(OR(AND(NOT(MID($D5,1,1)="1"),MID($D5,2,1)="1",MID($D5,3,1)="1"),AND(MID($D5,1,1)="1",NOT(MID($D5,2,1)="1"),NOT(MID($D5,3,1)="1")),AND(MID($D5,1,1)="1",NOT(MID($D5,2,1)="1"),MID($D5,3,1)="1",$F5="1")),1,0)</f>
        <v>0</v>
      </c>
      <c r="W5" s="34">
        <f>IF(AND(MID($G5,1,1)="1",OR(AND(NOT(MID($D5,1,1)="1"),MID($D5,2,1)="1"),AND(MID($D5,2,1)="1",NOT(MID($D5,3,1)="1")),AND(NOT(MID($D5,1,1)="1"),NOT(MID($D5,2,1)="1"),NOT(MID($D5,3,1)="1"),$F5="1",NOT(MID($G5,2,1)="1")),AND(MID($D5,1,1)="1",NOT(MID($D5,2,1)="1"),MID($D5,3,1)="1"))),1,0)</f>
        <v>0</v>
      </c>
      <c r="X5" s="34" t="str">
        <f>T5&amp;U5&amp;V5&amp;W5</f>
        <v>1000</v>
      </c>
      <c r="Y5" s="18" t="str">
        <f>IFERROR(INDEX(ALUCtrl_Key!$B$5:$B$20,MATCH(X5,ALUCtrl_Key!$A$5:$A$20,0)),"?")</f>
        <v>and</v>
      </c>
      <c r="Z5" s="18" t="str">
        <f>IF(H5="00","rs1 (s_read1)",IF(H5="01","PC (s_pc_out)","0"))</f>
        <v>rs1 (s_read1)</v>
      </c>
      <c r="AA5" s="18" t="str">
        <f>IF(I5="1","immediate (s_immgen)","rs2 (s_read2)")</f>
        <v>rs2 (s_read2)</v>
      </c>
      <c r="AB5" s="18" t="str">
        <f>IF(R5="1","PC (held)",IF(Q5="1","(rs1 + imm) with bit 0 cleared",IF(P5="1","PC + imm",IF(O5="1","PC + imm if taken, else PC + 4","PC + 4"))))</f>
        <v>PC + 4</v>
      </c>
      <c r="AC5" s="18" t="str">
        <f>IF(J5="0","nothing",IF(N5="1","PC + 4",IF(M5="1","load data (LOAD_U)","ALU result")))</f>
        <v>ALU result</v>
      </c>
      <c r="AD5" s="17"/>
      <c r="AE5" s="17"/>
    </row>
    <row r="6" spans="1:31" x14ac:dyDescent="0.2">
      <c r="A6" s="49" t="s">
        <v>23</v>
      </c>
      <c r="B6" s="33" t="s">
        <v>88</v>
      </c>
      <c r="C6" s="33" t="s">
        <v>89</v>
      </c>
      <c r="D6" s="33" t="s">
        <v>99</v>
      </c>
      <c r="E6" s="33" t="s">
        <v>91</v>
      </c>
      <c r="F6" s="33" t="s">
        <v>92</v>
      </c>
      <c r="G6" s="33" t="s">
        <v>93</v>
      </c>
      <c r="H6" s="33" t="s">
        <v>94</v>
      </c>
      <c r="I6" s="33" t="s">
        <v>92</v>
      </c>
      <c r="J6" s="33" t="s">
        <v>95</v>
      </c>
      <c r="K6" s="33" t="s">
        <v>92</v>
      </c>
      <c r="L6" s="33" t="s">
        <v>92</v>
      </c>
      <c r="M6" s="33" t="s">
        <v>92</v>
      </c>
      <c r="N6" s="33" t="s">
        <v>92</v>
      </c>
      <c r="O6" s="33" t="s">
        <v>92</v>
      </c>
      <c r="P6" s="33" t="s">
        <v>92</v>
      </c>
      <c r="Q6" s="33" t="s">
        <v>92</v>
      </c>
      <c r="R6" s="33" t="s">
        <v>92</v>
      </c>
      <c r="S6" s="33" t="s">
        <v>96</v>
      </c>
      <c r="T6" s="34">
        <f>IF(AND(MID($G6,1,1)="1",OR(MID($D6,1,1)="1",AND(NOT(MID($D6,2,1)="1"),MID($D6,3,1)="1"))),1,0)</f>
        <v>1</v>
      </c>
      <c r="U6" s="34">
        <f>IF(AND(MID($G6,1,1)="1",OR(AND(NOT(MID($D6,1,1)="1"),MID($D6,2,1)="1"),AND(NOT(MID($D6,2,1)="1"),MID($D6,3,1)="1"))),1,0)</f>
        <v>0</v>
      </c>
      <c r="V6" s="34">
        <f>IF(OR(AND(NOT(MID($D6,1,1)="1"),MID($D6,2,1)="1",MID($D6,3,1)="1"),AND(MID($D6,1,1)="1",NOT(MID($D6,2,1)="1"),NOT(MID($D6,3,1)="1")),AND(MID($D6,1,1)="1",NOT(MID($D6,2,1)="1"),MID($D6,3,1)="1",$F6="1")),1,0)</f>
        <v>0</v>
      </c>
      <c r="W6" s="34">
        <f>IF(AND(MID($G6,1,1)="1",OR(AND(NOT(MID($D6,1,1)="1"),MID($D6,2,1)="1"),AND(MID($D6,2,1)="1",NOT(MID($D6,3,1)="1")),AND(NOT(MID($D6,1,1)="1"),NOT(MID($D6,2,1)="1"),NOT(MID($D6,3,1)="1"),$F6="1",NOT(MID($G6,2,1)="1")),AND(MID($D6,1,1)="1",NOT(MID($D6,2,1)="1"),MID($D6,3,1)="1"))),1,0)</f>
        <v>1</v>
      </c>
      <c r="X6" s="34" t="str">
        <f>T6&amp;U6&amp;V6&amp;W6</f>
        <v>1001</v>
      </c>
      <c r="Y6" s="18" t="str">
        <f>IFERROR(INDEX(ALUCtrl_Key!$B$5:$B$20,MATCH(X6,ALUCtrl_Key!$A$5:$A$20,0)),"?")</f>
        <v>or</v>
      </c>
      <c r="Z6" s="18" t="str">
        <f>IF(H6="00","rs1 (s_read1)",IF(H6="01","PC (s_pc_out)","0"))</f>
        <v>rs1 (s_read1)</v>
      </c>
      <c r="AA6" s="18" t="str">
        <f>IF(I6="1","immediate (s_immgen)","rs2 (s_read2)")</f>
        <v>rs2 (s_read2)</v>
      </c>
      <c r="AB6" s="18" t="str">
        <f>IF(R6="1","PC (held)",IF(Q6="1","(rs1 + imm) with bit 0 cleared",IF(P6="1","PC + imm",IF(O6="1","PC + imm if taken, else PC + 4","PC + 4"))))</f>
        <v>PC + 4</v>
      </c>
      <c r="AC6" s="18" t="str">
        <f>IF(J6="0","nothing",IF(N6="1","PC + 4",IF(M6="1","load data (LOAD_U)","ALU result")))</f>
        <v>ALU result</v>
      </c>
      <c r="AD6" s="17"/>
      <c r="AE6" s="17"/>
    </row>
    <row r="7" spans="1:31" x14ac:dyDescent="0.2">
      <c r="A7" s="49" t="s">
        <v>25</v>
      </c>
      <c r="B7" s="33" t="s">
        <v>88</v>
      </c>
      <c r="C7" s="33" t="s">
        <v>89</v>
      </c>
      <c r="D7" s="33" t="s">
        <v>100</v>
      </c>
      <c r="E7" s="33" t="s">
        <v>91</v>
      </c>
      <c r="F7" s="33" t="s">
        <v>92</v>
      </c>
      <c r="G7" s="33" t="s">
        <v>93</v>
      </c>
      <c r="H7" s="33" t="s">
        <v>94</v>
      </c>
      <c r="I7" s="33" t="s">
        <v>92</v>
      </c>
      <c r="J7" s="33" t="s">
        <v>95</v>
      </c>
      <c r="K7" s="33" t="s">
        <v>92</v>
      </c>
      <c r="L7" s="33" t="s">
        <v>92</v>
      </c>
      <c r="M7" s="33" t="s">
        <v>92</v>
      </c>
      <c r="N7" s="33" t="s">
        <v>92</v>
      </c>
      <c r="O7" s="33" t="s">
        <v>92</v>
      </c>
      <c r="P7" s="33" t="s">
        <v>92</v>
      </c>
      <c r="Q7" s="33" t="s">
        <v>92</v>
      </c>
      <c r="R7" s="33" t="s">
        <v>92</v>
      </c>
      <c r="S7" s="33" t="s">
        <v>96</v>
      </c>
      <c r="T7" s="34">
        <f>IF(AND(MID($G7,1,1)="1",OR(MID($D7,1,1)="1",AND(NOT(MID($D7,2,1)="1"),MID($D7,3,1)="1"))),1,0)</f>
        <v>1</v>
      </c>
      <c r="U7" s="34">
        <f>IF(AND(MID($G7,1,1)="1",OR(AND(NOT(MID($D7,1,1)="1"),MID($D7,2,1)="1"),AND(NOT(MID($D7,2,1)="1"),MID($D7,3,1)="1"))),1,0)</f>
        <v>0</v>
      </c>
      <c r="V7" s="34">
        <f>IF(OR(AND(NOT(MID($D7,1,1)="1"),MID($D7,2,1)="1",MID($D7,3,1)="1"),AND(MID($D7,1,1)="1",NOT(MID($D7,2,1)="1"),NOT(MID($D7,3,1)="1")),AND(MID($D7,1,1)="1",NOT(MID($D7,2,1)="1"),MID($D7,3,1)="1",$F7="1")),1,0)</f>
        <v>1</v>
      </c>
      <c r="W7" s="34">
        <f>IF(AND(MID($G7,1,1)="1",OR(AND(NOT(MID($D7,1,1)="1"),MID($D7,2,1)="1"),AND(MID($D7,2,1)="1",NOT(MID($D7,3,1)="1")),AND(NOT(MID($D7,1,1)="1"),NOT(MID($D7,2,1)="1"),NOT(MID($D7,3,1)="1"),$F7="1",NOT(MID($G7,2,1)="1")),AND(MID($D7,1,1)="1",NOT(MID($D7,2,1)="1"),MID($D7,3,1)="1"))),1,0)</f>
        <v>0</v>
      </c>
      <c r="X7" s="34" t="str">
        <f>T7&amp;U7&amp;V7&amp;W7</f>
        <v>1010</v>
      </c>
      <c r="Y7" s="18" t="str">
        <f>IFERROR(INDEX(ALUCtrl_Key!$B$5:$B$20,MATCH(X7,ALUCtrl_Key!$A$5:$A$20,0)),"?")</f>
        <v>xor</v>
      </c>
      <c r="Z7" s="18" t="str">
        <f>IF(H7="00","rs1 (s_read1)",IF(H7="01","PC (s_pc_out)","0"))</f>
        <v>rs1 (s_read1)</v>
      </c>
      <c r="AA7" s="18" t="str">
        <f>IF(I7="1","immediate (s_immgen)","rs2 (s_read2)")</f>
        <v>rs2 (s_read2)</v>
      </c>
      <c r="AB7" s="18" t="str">
        <f>IF(R7="1","PC (held)",IF(Q7="1","(rs1 + imm) with bit 0 cleared",IF(P7="1","PC + imm",IF(O7="1","PC + imm if taken, else PC + 4","PC + 4"))))</f>
        <v>PC + 4</v>
      </c>
      <c r="AC7" s="18" t="str">
        <f>IF(J7="0","nothing",IF(N7="1","PC + 4",IF(M7="1","load data (LOAD_U)","ALU result")))</f>
        <v>ALU result</v>
      </c>
      <c r="AD7" s="17"/>
      <c r="AE7" s="17"/>
    </row>
    <row r="8" spans="1:31" x14ac:dyDescent="0.2">
      <c r="A8" s="49" t="s">
        <v>101</v>
      </c>
      <c r="B8" s="33" t="s">
        <v>88</v>
      </c>
      <c r="C8" s="33" t="s">
        <v>89</v>
      </c>
      <c r="D8" s="33" t="s">
        <v>102</v>
      </c>
      <c r="E8" s="33" t="s">
        <v>91</v>
      </c>
      <c r="F8" s="33" t="s">
        <v>92</v>
      </c>
      <c r="G8" s="33" t="s">
        <v>93</v>
      </c>
      <c r="H8" s="33" t="s">
        <v>94</v>
      </c>
      <c r="I8" s="33" t="s">
        <v>92</v>
      </c>
      <c r="J8" s="33" t="s">
        <v>95</v>
      </c>
      <c r="K8" s="33" t="s">
        <v>92</v>
      </c>
      <c r="L8" s="33" t="s">
        <v>92</v>
      </c>
      <c r="M8" s="33" t="s">
        <v>92</v>
      </c>
      <c r="N8" s="33" t="s">
        <v>92</v>
      </c>
      <c r="O8" s="33" t="s">
        <v>92</v>
      </c>
      <c r="P8" s="33" t="s">
        <v>92</v>
      </c>
      <c r="Q8" s="33" t="s">
        <v>92</v>
      </c>
      <c r="R8" s="33" t="s">
        <v>92</v>
      </c>
      <c r="S8" s="33" t="s">
        <v>96</v>
      </c>
      <c r="T8" s="34">
        <f>IF(AND(MID($G8,1,1)="1",OR(MID($D8,1,1)="1",AND(NOT(MID($D8,2,1)="1"),MID($D8,3,1)="1"))),1,0)</f>
        <v>0</v>
      </c>
      <c r="U8" s="34">
        <f>IF(AND(MID($G8,1,1)="1",OR(AND(NOT(MID($D8,1,1)="1"),MID($D8,2,1)="1"),AND(NOT(MID($D8,2,1)="1"),MID($D8,3,1)="1"))),1,0)</f>
        <v>1</v>
      </c>
      <c r="V8" s="34">
        <f>IF(OR(AND(NOT(MID($D8,1,1)="1"),MID($D8,2,1)="1",MID($D8,3,1)="1"),AND(MID($D8,1,1)="1",NOT(MID($D8,2,1)="1"),NOT(MID($D8,3,1)="1")),AND(MID($D8,1,1)="1",NOT(MID($D8,2,1)="1"),MID($D8,3,1)="1",$F8="1")),1,0)</f>
        <v>0</v>
      </c>
      <c r="W8" s="34">
        <f>IF(AND(MID($G8,1,1)="1",OR(AND(NOT(MID($D8,1,1)="1"),MID($D8,2,1)="1"),AND(MID($D8,2,1)="1",NOT(MID($D8,3,1)="1")),AND(NOT(MID($D8,1,1)="1"),NOT(MID($D8,2,1)="1"),NOT(MID($D8,3,1)="1"),$F8="1",NOT(MID($G8,2,1)="1")),AND(MID($D8,1,1)="1",NOT(MID($D8,2,1)="1"),MID($D8,3,1)="1"))),1,0)</f>
        <v>1</v>
      </c>
      <c r="X8" s="34" t="str">
        <f>T8&amp;U8&amp;V8&amp;W8</f>
        <v>0101</v>
      </c>
      <c r="Y8" s="18" t="str">
        <f>IFERROR(INDEX(ALUCtrl_Key!$B$5:$B$20,MATCH(X8,ALUCtrl_Key!$A$5:$A$20,0)),"?")</f>
        <v>slt (signed less-than)</v>
      </c>
      <c r="Z8" s="18" t="str">
        <f>IF(H8="00","rs1 (s_read1)",IF(H8="01","PC (s_pc_out)","0"))</f>
        <v>rs1 (s_read1)</v>
      </c>
      <c r="AA8" s="18" t="str">
        <f>IF(I8="1","immediate (s_immgen)","rs2 (s_read2)")</f>
        <v>rs2 (s_read2)</v>
      </c>
      <c r="AB8" s="18" t="str">
        <f>IF(R8="1","PC (held)",IF(Q8="1","(rs1 + imm) with bit 0 cleared",IF(P8="1","PC + imm",IF(O8="1","PC + imm if taken, else PC + 4","PC + 4"))))</f>
        <v>PC + 4</v>
      </c>
      <c r="AC8" s="18" t="str">
        <f>IF(J8="0","nothing",IF(N8="1","PC + 4",IF(M8="1","load data (LOAD_U)","ALU result")))</f>
        <v>ALU result</v>
      </c>
      <c r="AD8" s="17"/>
      <c r="AE8" s="17"/>
    </row>
    <row r="9" spans="1:31" x14ac:dyDescent="0.2">
      <c r="A9" s="49" t="s">
        <v>29</v>
      </c>
      <c r="B9" s="33" t="s">
        <v>88</v>
      </c>
      <c r="C9" s="33" t="s">
        <v>89</v>
      </c>
      <c r="D9" s="33" t="s">
        <v>103</v>
      </c>
      <c r="E9" s="33" t="s">
        <v>91</v>
      </c>
      <c r="F9" s="33" t="s">
        <v>92</v>
      </c>
      <c r="G9" s="33" t="s">
        <v>93</v>
      </c>
      <c r="H9" s="33" t="s">
        <v>94</v>
      </c>
      <c r="I9" s="33" t="s">
        <v>92</v>
      </c>
      <c r="J9" s="33" t="s">
        <v>95</v>
      </c>
      <c r="K9" s="33" t="s">
        <v>92</v>
      </c>
      <c r="L9" s="33" t="s">
        <v>92</v>
      </c>
      <c r="M9" s="33" t="s">
        <v>92</v>
      </c>
      <c r="N9" s="33" t="s">
        <v>92</v>
      </c>
      <c r="O9" s="33" t="s">
        <v>92</v>
      </c>
      <c r="P9" s="33" t="s">
        <v>92</v>
      </c>
      <c r="Q9" s="33" t="s">
        <v>92</v>
      </c>
      <c r="R9" s="33" t="s">
        <v>92</v>
      </c>
      <c r="S9" s="33" t="s">
        <v>96</v>
      </c>
      <c r="T9" s="34">
        <f>IF(AND(MID($G9,1,1)="1",OR(MID($D9,1,1)="1",AND(NOT(MID($D9,2,1)="1"),MID($D9,3,1)="1"))),1,0)</f>
        <v>1</v>
      </c>
      <c r="U9" s="34">
        <f>IF(AND(MID($G9,1,1)="1",OR(AND(NOT(MID($D9,1,1)="1"),MID($D9,2,1)="1"),AND(NOT(MID($D9,2,1)="1"),MID($D9,3,1)="1"))),1,0)</f>
        <v>1</v>
      </c>
      <c r="V9" s="34">
        <f>IF(OR(AND(NOT(MID($D9,1,1)="1"),MID($D9,2,1)="1",MID($D9,3,1)="1"),AND(MID($D9,1,1)="1",NOT(MID($D9,2,1)="1"),NOT(MID($D9,3,1)="1")),AND(MID($D9,1,1)="1",NOT(MID($D9,2,1)="1"),MID($D9,3,1)="1",$F9="1")),1,0)</f>
        <v>0</v>
      </c>
      <c r="W9" s="34">
        <f>IF(AND(MID($G9,1,1)="1",OR(AND(NOT(MID($D9,1,1)="1"),MID($D9,2,1)="1"),AND(MID($D9,2,1)="1",NOT(MID($D9,3,1)="1")),AND(NOT(MID($D9,1,1)="1"),NOT(MID($D9,2,1)="1"),NOT(MID($D9,3,1)="1"),$F9="1",NOT(MID($G9,2,1)="1")),AND(MID($D9,1,1)="1",NOT(MID($D9,2,1)="1"),MID($D9,3,1)="1"))),1,0)</f>
        <v>0</v>
      </c>
      <c r="X9" s="34" t="str">
        <f>T9&amp;U9&amp;V9&amp;W9</f>
        <v>1100</v>
      </c>
      <c r="Y9" s="18" t="str">
        <f>IFERROR(INDEX(ALUCtrl_Key!$B$5:$B$20,MATCH(X9,ALUCtrl_Key!$A$5:$A$20,0)),"?")</f>
        <v>sll</v>
      </c>
      <c r="Z9" s="18" t="str">
        <f>IF(H9="00","rs1 (s_read1)",IF(H9="01","PC (s_pc_out)","0"))</f>
        <v>rs1 (s_read1)</v>
      </c>
      <c r="AA9" s="18" t="str">
        <f>IF(I9="1","immediate (s_immgen)","rs2 (s_read2)")</f>
        <v>rs2 (s_read2)</v>
      </c>
      <c r="AB9" s="18" t="str">
        <f>IF(R9="1","PC (held)",IF(Q9="1","(rs1 + imm) with bit 0 cleared",IF(P9="1","PC + imm",IF(O9="1","PC + imm if taken, else PC + 4","PC + 4"))))</f>
        <v>PC + 4</v>
      </c>
      <c r="AC9" s="18" t="str">
        <f>IF(J9="0","nothing",IF(N9="1","PC + 4",IF(M9="1","load data (LOAD_U)","ALU result")))</f>
        <v>ALU result</v>
      </c>
      <c r="AD9" s="17"/>
      <c r="AE9" s="17"/>
    </row>
    <row r="10" spans="1:31" x14ac:dyDescent="0.2">
      <c r="A10" s="49" t="s">
        <v>31</v>
      </c>
      <c r="B10" s="33" t="s">
        <v>88</v>
      </c>
      <c r="C10" s="33" t="s">
        <v>89</v>
      </c>
      <c r="D10" s="33" t="s">
        <v>104</v>
      </c>
      <c r="E10" s="33" t="s">
        <v>91</v>
      </c>
      <c r="F10" s="33" t="s">
        <v>92</v>
      </c>
      <c r="G10" s="33" t="s">
        <v>93</v>
      </c>
      <c r="H10" s="33" t="s">
        <v>94</v>
      </c>
      <c r="I10" s="33" t="s">
        <v>92</v>
      </c>
      <c r="J10" s="33" t="s">
        <v>95</v>
      </c>
      <c r="K10" s="33" t="s">
        <v>92</v>
      </c>
      <c r="L10" s="33" t="s">
        <v>92</v>
      </c>
      <c r="M10" s="33" t="s">
        <v>92</v>
      </c>
      <c r="N10" s="33" t="s">
        <v>92</v>
      </c>
      <c r="O10" s="33" t="s">
        <v>92</v>
      </c>
      <c r="P10" s="33" t="s">
        <v>92</v>
      </c>
      <c r="Q10" s="33" t="s">
        <v>92</v>
      </c>
      <c r="R10" s="33" t="s">
        <v>92</v>
      </c>
      <c r="S10" s="33" t="s">
        <v>96</v>
      </c>
      <c r="T10" s="34">
        <f>IF(AND(MID($G10,1,1)="1",OR(MID($D10,1,1)="1",AND(NOT(MID($D10,2,1)="1"),MID($D10,3,1)="1"))),1,0)</f>
        <v>1</v>
      </c>
      <c r="U10" s="34">
        <f>IF(AND(MID($G10,1,1)="1",OR(AND(NOT(MID($D10,1,1)="1"),MID($D10,2,1)="1"),AND(NOT(MID($D10,2,1)="1"),MID($D10,3,1)="1"))),1,0)</f>
        <v>1</v>
      </c>
      <c r="V10" s="34">
        <f>IF(OR(AND(NOT(MID($D10,1,1)="1"),MID($D10,2,1)="1",MID($D10,3,1)="1"),AND(MID($D10,1,1)="1",NOT(MID($D10,2,1)="1"),NOT(MID($D10,3,1)="1")),AND(MID($D10,1,1)="1",NOT(MID($D10,2,1)="1"),MID($D10,3,1)="1",$F10="1")),1,0)</f>
        <v>0</v>
      </c>
      <c r="W10" s="34">
        <f>IF(AND(MID($G10,1,1)="1",OR(AND(NOT(MID($D10,1,1)="1"),MID($D10,2,1)="1"),AND(MID($D10,2,1)="1",NOT(MID($D10,3,1)="1")),AND(NOT(MID($D10,1,1)="1"),NOT(MID($D10,2,1)="1"),NOT(MID($D10,3,1)="1"),$F10="1",NOT(MID($G10,2,1)="1")),AND(MID($D10,1,1)="1",NOT(MID($D10,2,1)="1"),MID($D10,3,1)="1"))),1,0)</f>
        <v>1</v>
      </c>
      <c r="X10" s="34" t="str">
        <f>T10&amp;U10&amp;V10&amp;W10</f>
        <v>1101</v>
      </c>
      <c r="Y10" s="18" t="str">
        <f>IFERROR(INDEX(ALUCtrl_Key!$B$5:$B$20,MATCH(X10,ALUCtrl_Key!$A$5:$A$20,0)),"?")</f>
        <v>srl</v>
      </c>
      <c r="Z10" s="18" t="str">
        <f>IF(H10="00","rs1 (s_read1)",IF(H10="01","PC (s_pc_out)","0"))</f>
        <v>rs1 (s_read1)</v>
      </c>
      <c r="AA10" s="18" t="str">
        <f>IF(I10="1","immediate (s_immgen)","rs2 (s_read2)")</f>
        <v>rs2 (s_read2)</v>
      </c>
      <c r="AB10" s="18" t="str">
        <f>IF(R10="1","PC (held)",IF(Q10="1","(rs1 + imm) with bit 0 cleared",IF(P10="1","PC + imm",IF(O10="1","PC + imm if taken, else PC + 4","PC + 4"))))</f>
        <v>PC + 4</v>
      </c>
      <c r="AC10" s="18" t="str">
        <f>IF(J10="0","nothing",IF(N10="1","PC + 4",IF(M10="1","load data (LOAD_U)","ALU result")))</f>
        <v>ALU result</v>
      </c>
      <c r="AD10" s="17"/>
      <c r="AE10" s="17"/>
    </row>
    <row r="11" spans="1:31" x14ac:dyDescent="0.2">
      <c r="A11" s="49" t="s">
        <v>35</v>
      </c>
      <c r="B11" s="33" t="s">
        <v>88</v>
      </c>
      <c r="C11" s="33" t="s">
        <v>89</v>
      </c>
      <c r="D11" s="33" t="s">
        <v>104</v>
      </c>
      <c r="E11" s="33" t="s">
        <v>97</v>
      </c>
      <c r="F11" s="33" t="s">
        <v>95</v>
      </c>
      <c r="G11" s="33" t="s">
        <v>93</v>
      </c>
      <c r="H11" s="33" t="s">
        <v>94</v>
      </c>
      <c r="I11" s="33" t="s">
        <v>92</v>
      </c>
      <c r="J11" s="33" t="s">
        <v>95</v>
      </c>
      <c r="K11" s="33" t="s">
        <v>92</v>
      </c>
      <c r="L11" s="33" t="s">
        <v>92</v>
      </c>
      <c r="M11" s="33" t="s">
        <v>92</v>
      </c>
      <c r="N11" s="33" t="s">
        <v>92</v>
      </c>
      <c r="O11" s="33" t="s">
        <v>92</v>
      </c>
      <c r="P11" s="33" t="s">
        <v>92</v>
      </c>
      <c r="Q11" s="33" t="s">
        <v>92</v>
      </c>
      <c r="R11" s="33" t="s">
        <v>92</v>
      </c>
      <c r="S11" s="33" t="s">
        <v>96</v>
      </c>
      <c r="T11" s="34">
        <f>IF(AND(MID($G11,1,1)="1",OR(MID($D11,1,1)="1",AND(NOT(MID($D11,2,1)="1"),MID($D11,3,1)="1"))),1,0)</f>
        <v>1</v>
      </c>
      <c r="U11" s="34">
        <f>IF(AND(MID($G11,1,1)="1",OR(AND(NOT(MID($D11,1,1)="1"),MID($D11,2,1)="1"),AND(NOT(MID($D11,2,1)="1"),MID($D11,3,1)="1"))),1,0)</f>
        <v>1</v>
      </c>
      <c r="V11" s="34">
        <f>IF(OR(AND(NOT(MID($D11,1,1)="1"),MID($D11,2,1)="1",MID($D11,3,1)="1"),AND(MID($D11,1,1)="1",NOT(MID($D11,2,1)="1"),NOT(MID($D11,3,1)="1")),AND(MID($D11,1,1)="1",NOT(MID($D11,2,1)="1"),MID($D11,3,1)="1",$F11="1")),1,0)</f>
        <v>1</v>
      </c>
      <c r="W11" s="34">
        <f>IF(AND(MID($G11,1,1)="1",OR(AND(NOT(MID($D11,1,1)="1"),MID($D11,2,1)="1"),AND(MID($D11,2,1)="1",NOT(MID($D11,3,1)="1")),AND(NOT(MID($D11,1,1)="1"),NOT(MID($D11,2,1)="1"),NOT(MID($D11,3,1)="1"),$F11="1",NOT(MID($G11,2,1)="1")),AND(MID($D11,1,1)="1",NOT(MID($D11,2,1)="1"),MID($D11,3,1)="1"))),1,0)</f>
        <v>1</v>
      </c>
      <c r="X11" s="34" t="str">
        <f>T11&amp;U11&amp;V11&amp;W11</f>
        <v>1111</v>
      </c>
      <c r="Y11" s="18" t="str">
        <f>IFERROR(INDEX(ALUCtrl_Key!$B$5:$B$20,MATCH(X11,ALUCtrl_Key!$A$5:$A$20,0)),"?")</f>
        <v>sra</v>
      </c>
      <c r="Z11" s="18" t="str">
        <f>IF(H11="00","rs1 (s_read1)",IF(H11="01","PC (s_pc_out)","0"))</f>
        <v>rs1 (s_read1)</v>
      </c>
      <c r="AA11" s="18" t="str">
        <f>IF(I11="1","immediate (s_immgen)","rs2 (s_read2)")</f>
        <v>rs2 (s_read2)</v>
      </c>
      <c r="AB11" s="18" t="str">
        <f>IF(R11="1","PC (held)",IF(Q11="1","(rs1 + imm) with bit 0 cleared",IF(P11="1","PC + imm",IF(O11="1","PC + imm if taken, else PC + 4","PC + 4"))))</f>
        <v>PC + 4</v>
      </c>
      <c r="AC11" s="18" t="str">
        <f>IF(J11="0","nothing",IF(N11="1","PC + 4",IF(M11="1","load data (LOAD_U)","ALU result")))</f>
        <v>ALU result</v>
      </c>
      <c r="AD11" s="17"/>
      <c r="AE11" s="17"/>
    </row>
    <row r="12" spans="1:31" x14ac:dyDescent="0.2">
      <c r="A12" s="50" t="s">
        <v>105</v>
      </c>
      <c r="B12" s="35" t="s">
        <v>106</v>
      </c>
      <c r="C12" s="35" t="s">
        <v>107</v>
      </c>
      <c r="D12" s="35" t="s">
        <v>90</v>
      </c>
      <c r="E12" s="35" t="s">
        <v>108</v>
      </c>
      <c r="F12" s="35" t="s">
        <v>109</v>
      </c>
      <c r="G12" s="35" t="s">
        <v>110</v>
      </c>
      <c r="H12" s="35" t="s">
        <v>94</v>
      </c>
      <c r="I12" s="35" t="s">
        <v>95</v>
      </c>
      <c r="J12" s="35" t="s">
        <v>95</v>
      </c>
      <c r="K12" s="35" t="s">
        <v>92</v>
      </c>
      <c r="L12" s="35" t="s">
        <v>92</v>
      </c>
      <c r="M12" s="35" t="s">
        <v>92</v>
      </c>
      <c r="N12" s="35" t="s">
        <v>92</v>
      </c>
      <c r="O12" s="35" t="s">
        <v>92</v>
      </c>
      <c r="P12" s="35" t="s">
        <v>92</v>
      </c>
      <c r="Q12" s="35" t="s">
        <v>92</v>
      </c>
      <c r="R12" s="35" t="s">
        <v>92</v>
      </c>
      <c r="S12" s="35" t="s">
        <v>106</v>
      </c>
      <c r="T12" s="36">
        <f>IF(AND(MID($G12,1,1)="1",OR(MID($D12,1,1)="1",AND(NOT(MID($D12,2,1)="1"),MID($D12,3,1)="1"))),1,0)</f>
        <v>0</v>
      </c>
      <c r="U12" s="36">
        <f>IF(AND(MID($G12,1,1)="1",OR(AND(NOT(MID($D12,1,1)="1"),MID($D12,2,1)="1"),AND(NOT(MID($D12,2,1)="1"),MID($D12,3,1)="1"))),1,0)</f>
        <v>0</v>
      </c>
      <c r="V12" s="36">
        <f>IF(OR(AND(NOT(MID($D12,1,1)="1"),MID($D12,2,1)="1",MID($D12,3,1)="1"),AND(MID($D12,1,1)="1",NOT(MID($D12,2,1)="1"),NOT(MID($D12,3,1)="1")),AND(MID($D12,1,1)="1",NOT(MID($D12,2,1)="1"),MID($D12,3,1)="1",$F12="1")),1,0)</f>
        <v>0</v>
      </c>
      <c r="W12" s="36">
        <f>IF(AND(MID($G12,1,1)="1",OR(AND(NOT(MID($D12,1,1)="1"),MID($D12,2,1)="1"),AND(MID($D12,2,1)="1",NOT(MID($D12,3,1)="1")),AND(NOT(MID($D12,1,1)="1"),NOT(MID($D12,2,1)="1"),NOT(MID($D12,3,1)="1"),$F12="1",NOT(MID($G12,2,1)="1")),AND(MID($D12,1,1)="1",NOT(MID($D12,2,1)="1"),MID($D12,3,1)="1"))),1,0)</f>
        <v>0</v>
      </c>
      <c r="X12" s="36" t="str">
        <f>T12&amp;U12&amp;V12&amp;W12</f>
        <v>0000</v>
      </c>
      <c r="Y12" s="20" t="str">
        <f>IFERROR(INDEX(ALUCtrl_Key!$B$5:$B$20,MATCH(X12,ALUCtrl_Key!$A$5:$A$20,0)),"?")</f>
        <v>add</v>
      </c>
      <c r="Z12" s="20" t="str">
        <f>IF(H12="00","rs1 (s_read1)",IF(H12="01","PC (s_pc_out)","0"))</f>
        <v>rs1 (s_read1)</v>
      </c>
      <c r="AA12" s="20" t="str">
        <f>IF(I12="1","immediate (s_immgen)","rs2 (s_read2)")</f>
        <v>immediate (s_immgen)</v>
      </c>
      <c r="AB12" s="20" t="str">
        <f>IF(R12="1","PC (held)",IF(Q12="1","(rs1 + imm) with bit 0 cleared",IF(P12="1","PC + imm",IF(O12="1","PC + imm if taken, else PC + 4","PC + 4"))))</f>
        <v>PC + 4</v>
      </c>
      <c r="AC12" s="20" t="str">
        <f>IF(J12="0","nothing",IF(N12="1","PC + 4",IF(M12="1","load data (LOAD_U)","ALU result")))</f>
        <v>ALU result</v>
      </c>
      <c r="AD12" s="19"/>
      <c r="AE12" s="19"/>
    </row>
    <row r="13" spans="1:31" x14ac:dyDescent="0.2">
      <c r="A13" s="50" t="s">
        <v>111</v>
      </c>
      <c r="B13" s="35" t="s">
        <v>106</v>
      </c>
      <c r="C13" s="35" t="s">
        <v>107</v>
      </c>
      <c r="D13" s="35" t="s">
        <v>98</v>
      </c>
      <c r="E13" s="35" t="s">
        <v>108</v>
      </c>
      <c r="F13" s="35" t="s">
        <v>109</v>
      </c>
      <c r="G13" s="35" t="s">
        <v>110</v>
      </c>
      <c r="H13" s="35" t="s">
        <v>94</v>
      </c>
      <c r="I13" s="35" t="s">
        <v>95</v>
      </c>
      <c r="J13" s="35" t="s">
        <v>95</v>
      </c>
      <c r="K13" s="35" t="s">
        <v>92</v>
      </c>
      <c r="L13" s="35" t="s">
        <v>92</v>
      </c>
      <c r="M13" s="35" t="s">
        <v>92</v>
      </c>
      <c r="N13" s="35" t="s">
        <v>92</v>
      </c>
      <c r="O13" s="35" t="s">
        <v>92</v>
      </c>
      <c r="P13" s="35" t="s">
        <v>92</v>
      </c>
      <c r="Q13" s="35" t="s">
        <v>92</v>
      </c>
      <c r="R13" s="35" t="s">
        <v>92</v>
      </c>
      <c r="S13" s="35" t="s">
        <v>106</v>
      </c>
      <c r="T13" s="36">
        <f>IF(AND(MID($G13,1,1)="1",OR(MID($D13,1,1)="1",AND(NOT(MID($D13,2,1)="1"),MID($D13,3,1)="1"))),1,0)</f>
        <v>1</v>
      </c>
      <c r="U13" s="36">
        <f>IF(AND(MID($G13,1,1)="1",OR(AND(NOT(MID($D13,1,1)="1"),MID($D13,2,1)="1"),AND(NOT(MID($D13,2,1)="1"),MID($D13,3,1)="1"))),1,0)</f>
        <v>0</v>
      </c>
      <c r="V13" s="36">
        <f>IF(OR(AND(NOT(MID($D13,1,1)="1"),MID($D13,2,1)="1",MID($D13,3,1)="1"),AND(MID($D13,1,1)="1",NOT(MID($D13,2,1)="1"),NOT(MID($D13,3,1)="1")),AND(MID($D13,1,1)="1",NOT(MID($D13,2,1)="1"),MID($D13,3,1)="1",$F13="1")),1,0)</f>
        <v>0</v>
      </c>
      <c r="W13" s="36">
        <f>IF(AND(MID($G13,1,1)="1",OR(AND(NOT(MID($D13,1,1)="1"),MID($D13,2,1)="1"),AND(MID($D13,2,1)="1",NOT(MID($D13,3,1)="1")),AND(NOT(MID($D13,1,1)="1"),NOT(MID($D13,2,1)="1"),NOT(MID($D13,3,1)="1"),$F13="1",NOT(MID($G13,2,1)="1")),AND(MID($D13,1,1)="1",NOT(MID($D13,2,1)="1"),MID($D13,3,1)="1"))),1,0)</f>
        <v>0</v>
      </c>
      <c r="X13" s="36" t="str">
        <f>T13&amp;U13&amp;V13&amp;W13</f>
        <v>1000</v>
      </c>
      <c r="Y13" s="20" t="str">
        <f>IFERROR(INDEX(ALUCtrl_Key!$B$5:$B$20,MATCH(X13,ALUCtrl_Key!$A$5:$A$20,0)),"?")</f>
        <v>and</v>
      </c>
      <c r="Z13" s="20" t="str">
        <f>IF(H13="00","rs1 (s_read1)",IF(H13="01","PC (s_pc_out)","0"))</f>
        <v>rs1 (s_read1)</v>
      </c>
      <c r="AA13" s="20" t="str">
        <f>IF(I13="1","immediate (s_immgen)","rs2 (s_read2)")</f>
        <v>immediate (s_immgen)</v>
      </c>
      <c r="AB13" s="20" t="str">
        <f>IF(R13="1","PC (held)",IF(Q13="1","(rs1 + imm) with bit 0 cleared",IF(P13="1","PC + imm",IF(O13="1","PC + imm if taken, else PC + 4","PC + 4"))))</f>
        <v>PC + 4</v>
      </c>
      <c r="AC13" s="20" t="str">
        <f>IF(J13="0","nothing",IF(N13="1","PC + 4",IF(M13="1","load data (LOAD_U)","ALU result")))</f>
        <v>ALU result</v>
      </c>
      <c r="AD13" s="19"/>
      <c r="AE13" s="19"/>
    </row>
    <row r="14" spans="1:31" x14ac:dyDescent="0.2">
      <c r="A14" s="50" t="s">
        <v>112</v>
      </c>
      <c r="B14" s="35" t="s">
        <v>106</v>
      </c>
      <c r="C14" s="35" t="s">
        <v>107</v>
      </c>
      <c r="D14" s="35" t="s">
        <v>99</v>
      </c>
      <c r="E14" s="35" t="s">
        <v>108</v>
      </c>
      <c r="F14" s="35" t="s">
        <v>109</v>
      </c>
      <c r="G14" s="35" t="s">
        <v>110</v>
      </c>
      <c r="H14" s="35" t="s">
        <v>94</v>
      </c>
      <c r="I14" s="35" t="s">
        <v>95</v>
      </c>
      <c r="J14" s="35" t="s">
        <v>95</v>
      </c>
      <c r="K14" s="35" t="s">
        <v>92</v>
      </c>
      <c r="L14" s="35" t="s">
        <v>92</v>
      </c>
      <c r="M14" s="35" t="s">
        <v>92</v>
      </c>
      <c r="N14" s="35" t="s">
        <v>92</v>
      </c>
      <c r="O14" s="35" t="s">
        <v>92</v>
      </c>
      <c r="P14" s="35" t="s">
        <v>92</v>
      </c>
      <c r="Q14" s="35" t="s">
        <v>92</v>
      </c>
      <c r="R14" s="35" t="s">
        <v>92</v>
      </c>
      <c r="S14" s="35" t="s">
        <v>106</v>
      </c>
      <c r="T14" s="36">
        <f>IF(AND(MID($G14,1,1)="1",OR(MID($D14,1,1)="1",AND(NOT(MID($D14,2,1)="1"),MID($D14,3,1)="1"))),1,0)</f>
        <v>1</v>
      </c>
      <c r="U14" s="36">
        <f>IF(AND(MID($G14,1,1)="1",OR(AND(NOT(MID($D14,1,1)="1"),MID($D14,2,1)="1"),AND(NOT(MID($D14,2,1)="1"),MID($D14,3,1)="1"))),1,0)</f>
        <v>0</v>
      </c>
      <c r="V14" s="36">
        <f>IF(OR(AND(NOT(MID($D14,1,1)="1"),MID($D14,2,1)="1",MID($D14,3,1)="1"),AND(MID($D14,1,1)="1",NOT(MID($D14,2,1)="1"),NOT(MID($D14,3,1)="1")),AND(MID($D14,1,1)="1",NOT(MID($D14,2,1)="1"),MID($D14,3,1)="1",$F14="1")),1,0)</f>
        <v>0</v>
      </c>
      <c r="W14" s="36">
        <f>IF(AND(MID($G14,1,1)="1",OR(AND(NOT(MID($D14,1,1)="1"),MID($D14,2,1)="1"),AND(MID($D14,2,1)="1",NOT(MID($D14,3,1)="1")),AND(NOT(MID($D14,1,1)="1"),NOT(MID($D14,2,1)="1"),NOT(MID($D14,3,1)="1"),$F14="1",NOT(MID($G14,2,1)="1")),AND(MID($D14,1,1)="1",NOT(MID($D14,2,1)="1"),MID($D14,3,1)="1"))),1,0)</f>
        <v>1</v>
      </c>
      <c r="X14" s="36" t="str">
        <f>T14&amp;U14&amp;V14&amp;W14</f>
        <v>1001</v>
      </c>
      <c r="Y14" s="20" t="str">
        <f>IFERROR(INDEX(ALUCtrl_Key!$B$5:$B$20,MATCH(X14,ALUCtrl_Key!$A$5:$A$20,0)),"?")</f>
        <v>or</v>
      </c>
      <c r="Z14" s="20" t="str">
        <f>IF(H14="00","rs1 (s_read1)",IF(H14="01","PC (s_pc_out)","0"))</f>
        <v>rs1 (s_read1)</v>
      </c>
      <c r="AA14" s="20" t="str">
        <f>IF(I14="1","immediate (s_immgen)","rs2 (s_read2)")</f>
        <v>immediate (s_immgen)</v>
      </c>
      <c r="AB14" s="20" t="str">
        <f>IF(R14="1","PC (held)",IF(Q14="1","(rs1 + imm) with bit 0 cleared",IF(P14="1","PC + imm",IF(O14="1","PC + imm if taken, else PC + 4","PC + 4"))))</f>
        <v>PC + 4</v>
      </c>
      <c r="AC14" s="20" t="str">
        <f>IF(J14="0","nothing",IF(N14="1","PC + 4",IF(M14="1","load data (LOAD_U)","ALU result")))</f>
        <v>ALU result</v>
      </c>
      <c r="AD14" s="19"/>
      <c r="AE14" s="19"/>
    </row>
    <row r="15" spans="1:31" x14ac:dyDescent="0.2">
      <c r="A15" s="50" t="s">
        <v>113</v>
      </c>
      <c r="B15" s="35" t="s">
        <v>106</v>
      </c>
      <c r="C15" s="35" t="s">
        <v>107</v>
      </c>
      <c r="D15" s="35" t="s">
        <v>100</v>
      </c>
      <c r="E15" s="35" t="s">
        <v>108</v>
      </c>
      <c r="F15" s="35" t="s">
        <v>109</v>
      </c>
      <c r="G15" s="35" t="s">
        <v>110</v>
      </c>
      <c r="H15" s="35" t="s">
        <v>94</v>
      </c>
      <c r="I15" s="35" t="s">
        <v>95</v>
      </c>
      <c r="J15" s="35" t="s">
        <v>95</v>
      </c>
      <c r="K15" s="35" t="s">
        <v>92</v>
      </c>
      <c r="L15" s="35" t="s">
        <v>92</v>
      </c>
      <c r="M15" s="35" t="s">
        <v>92</v>
      </c>
      <c r="N15" s="35" t="s">
        <v>92</v>
      </c>
      <c r="O15" s="35" t="s">
        <v>92</v>
      </c>
      <c r="P15" s="35" t="s">
        <v>92</v>
      </c>
      <c r="Q15" s="35" t="s">
        <v>92</v>
      </c>
      <c r="R15" s="35" t="s">
        <v>92</v>
      </c>
      <c r="S15" s="35" t="s">
        <v>106</v>
      </c>
      <c r="T15" s="36">
        <f>IF(AND(MID($G15,1,1)="1",OR(MID($D15,1,1)="1",AND(NOT(MID($D15,2,1)="1"),MID($D15,3,1)="1"))),1,0)</f>
        <v>1</v>
      </c>
      <c r="U15" s="36">
        <f>IF(AND(MID($G15,1,1)="1",OR(AND(NOT(MID($D15,1,1)="1"),MID($D15,2,1)="1"),AND(NOT(MID($D15,2,1)="1"),MID($D15,3,1)="1"))),1,0)</f>
        <v>0</v>
      </c>
      <c r="V15" s="36">
        <f>IF(OR(AND(NOT(MID($D15,1,1)="1"),MID($D15,2,1)="1",MID($D15,3,1)="1"),AND(MID($D15,1,1)="1",NOT(MID($D15,2,1)="1"),NOT(MID($D15,3,1)="1")),AND(MID($D15,1,1)="1",NOT(MID($D15,2,1)="1"),MID($D15,3,1)="1",$F15="1")),1,0)</f>
        <v>1</v>
      </c>
      <c r="W15" s="36">
        <f>IF(AND(MID($G15,1,1)="1",OR(AND(NOT(MID($D15,1,1)="1"),MID($D15,2,1)="1"),AND(MID($D15,2,1)="1",NOT(MID($D15,3,1)="1")),AND(NOT(MID($D15,1,1)="1"),NOT(MID($D15,2,1)="1"),NOT(MID($D15,3,1)="1"),$F15="1",NOT(MID($G15,2,1)="1")),AND(MID($D15,1,1)="1",NOT(MID($D15,2,1)="1"),MID($D15,3,1)="1"))),1,0)</f>
        <v>0</v>
      </c>
      <c r="X15" s="36" t="str">
        <f>T15&amp;U15&amp;V15&amp;W15</f>
        <v>1010</v>
      </c>
      <c r="Y15" s="20" t="str">
        <f>IFERROR(INDEX(ALUCtrl_Key!$B$5:$B$20,MATCH(X15,ALUCtrl_Key!$A$5:$A$20,0)),"?")</f>
        <v>xor</v>
      </c>
      <c r="Z15" s="20" t="str">
        <f>IF(H15="00","rs1 (s_read1)",IF(H15="01","PC (s_pc_out)","0"))</f>
        <v>rs1 (s_read1)</v>
      </c>
      <c r="AA15" s="20" t="str">
        <f>IF(I15="1","immediate (s_immgen)","rs2 (s_read2)")</f>
        <v>immediate (s_immgen)</v>
      </c>
      <c r="AB15" s="20" t="str">
        <f>IF(R15="1","PC (held)",IF(Q15="1","(rs1 + imm) with bit 0 cleared",IF(P15="1","PC + imm",IF(O15="1","PC + imm if taken, else PC + 4","PC + 4"))))</f>
        <v>PC + 4</v>
      </c>
      <c r="AC15" s="20" t="str">
        <f>IF(J15="0","nothing",IF(N15="1","PC + 4",IF(M15="1","load data (LOAD_U)","ALU result")))</f>
        <v>ALU result</v>
      </c>
      <c r="AD15" s="19"/>
      <c r="AE15" s="19"/>
    </row>
    <row r="16" spans="1:31" x14ac:dyDescent="0.2">
      <c r="A16" s="50" t="s">
        <v>114</v>
      </c>
      <c r="B16" s="35" t="s">
        <v>106</v>
      </c>
      <c r="C16" s="35" t="s">
        <v>107</v>
      </c>
      <c r="D16" s="35" t="s">
        <v>102</v>
      </c>
      <c r="E16" s="35" t="s">
        <v>108</v>
      </c>
      <c r="F16" s="35" t="s">
        <v>109</v>
      </c>
      <c r="G16" s="35" t="s">
        <v>110</v>
      </c>
      <c r="H16" s="35" t="s">
        <v>94</v>
      </c>
      <c r="I16" s="35" t="s">
        <v>95</v>
      </c>
      <c r="J16" s="35" t="s">
        <v>95</v>
      </c>
      <c r="K16" s="35" t="s">
        <v>92</v>
      </c>
      <c r="L16" s="35" t="s">
        <v>92</v>
      </c>
      <c r="M16" s="35" t="s">
        <v>92</v>
      </c>
      <c r="N16" s="35" t="s">
        <v>92</v>
      </c>
      <c r="O16" s="35" t="s">
        <v>92</v>
      </c>
      <c r="P16" s="35" t="s">
        <v>92</v>
      </c>
      <c r="Q16" s="35" t="s">
        <v>92</v>
      </c>
      <c r="R16" s="35" t="s">
        <v>92</v>
      </c>
      <c r="S16" s="35" t="s">
        <v>106</v>
      </c>
      <c r="T16" s="36">
        <f>IF(AND(MID($G16,1,1)="1",OR(MID($D16,1,1)="1",AND(NOT(MID($D16,2,1)="1"),MID($D16,3,1)="1"))),1,0)</f>
        <v>0</v>
      </c>
      <c r="U16" s="36">
        <f>IF(AND(MID($G16,1,1)="1",OR(AND(NOT(MID($D16,1,1)="1"),MID($D16,2,1)="1"),AND(NOT(MID($D16,2,1)="1"),MID($D16,3,1)="1"))),1,0)</f>
        <v>1</v>
      </c>
      <c r="V16" s="36">
        <f>IF(OR(AND(NOT(MID($D16,1,1)="1"),MID($D16,2,1)="1",MID($D16,3,1)="1"),AND(MID($D16,1,1)="1",NOT(MID($D16,2,1)="1"),NOT(MID($D16,3,1)="1")),AND(MID($D16,1,1)="1",NOT(MID($D16,2,1)="1"),MID($D16,3,1)="1",$F16="1")),1,0)</f>
        <v>0</v>
      </c>
      <c r="W16" s="36">
        <f>IF(AND(MID($G16,1,1)="1",OR(AND(NOT(MID($D16,1,1)="1"),MID($D16,2,1)="1"),AND(MID($D16,2,1)="1",NOT(MID($D16,3,1)="1")),AND(NOT(MID($D16,1,1)="1"),NOT(MID($D16,2,1)="1"),NOT(MID($D16,3,1)="1"),$F16="1",NOT(MID($G16,2,1)="1")),AND(MID($D16,1,1)="1",NOT(MID($D16,2,1)="1"),MID($D16,3,1)="1"))),1,0)</f>
        <v>1</v>
      </c>
      <c r="X16" s="36" t="str">
        <f>T16&amp;U16&amp;V16&amp;W16</f>
        <v>0101</v>
      </c>
      <c r="Y16" s="20" t="str">
        <f>IFERROR(INDEX(ALUCtrl_Key!$B$5:$B$20,MATCH(X16,ALUCtrl_Key!$A$5:$A$20,0)),"?")</f>
        <v>slt (signed less-than)</v>
      </c>
      <c r="Z16" s="20" t="str">
        <f>IF(H16="00","rs1 (s_read1)",IF(H16="01","PC (s_pc_out)","0"))</f>
        <v>rs1 (s_read1)</v>
      </c>
      <c r="AA16" s="20" t="str">
        <f>IF(I16="1","immediate (s_immgen)","rs2 (s_read2)")</f>
        <v>immediate (s_immgen)</v>
      </c>
      <c r="AB16" s="20" t="str">
        <f>IF(R16="1","PC (held)",IF(Q16="1","(rs1 + imm) with bit 0 cleared",IF(P16="1","PC + imm",IF(O16="1","PC + imm if taken, else PC + 4","PC + 4"))))</f>
        <v>PC + 4</v>
      </c>
      <c r="AC16" s="20" t="str">
        <f>IF(J16="0","nothing",IF(N16="1","PC + 4",IF(M16="1","load data (LOAD_U)","ALU result")))</f>
        <v>ALU result</v>
      </c>
      <c r="AD16" s="19"/>
      <c r="AE16" s="19"/>
    </row>
    <row r="17" spans="1:31" x14ac:dyDescent="0.2">
      <c r="A17" s="50" t="s">
        <v>115</v>
      </c>
      <c r="B17" s="35" t="s">
        <v>106</v>
      </c>
      <c r="C17" s="35" t="s">
        <v>107</v>
      </c>
      <c r="D17" s="35" t="s">
        <v>116</v>
      </c>
      <c r="E17" s="35" t="s">
        <v>108</v>
      </c>
      <c r="F17" s="35" t="s">
        <v>109</v>
      </c>
      <c r="G17" s="35" t="s">
        <v>110</v>
      </c>
      <c r="H17" s="35" t="s">
        <v>94</v>
      </c>
      <c r="I17" s="35" t="s">
        <v>95</v>
      </c>
      <c r="J17" s="35" t="s">
        <v>95</v>
      </c>
      <c r="K17" s="35" t="s">
        <v>92</v>
      </c>
      <c r="L17" s="35" t="s">
        <v>92</v>
      </c>
      <c r="M17" s="35" t="s">
        <v>92</v>
      </c>
      <c r="N17" s="35" t="s">
        <v>92</v>
      </c>
      <c r="O17" s="35" t="s">
        <v>92</v>
      </c>
      <c r="P17" s="35" t="s">
        <v>92</v>
      </c>
      <c r="Q17" s="35" t="s">
        <v>92</v>
      </c>
      <c r="R17" s="35" t="s">
        <v>92</v>
      </c>
      <c r="S17" s="35" t="s">
        <v>106</v>
      </c>
      <c r="T17" s="36">
        <f>IF(AND(MID($G17,1,1)="1",OR(MID($D17,1,1)="1",AND(NOT(MID($D17,2,1)="1"),MID($D17,3,1)="1"))),1,0)</f>
        <v>0</v>
      </c>
      <c r="U17" s="36">
        <f>IF(AND(MID($G17,1,1)="1",OR(AND(NOT(MID($D17,1,1)="1"),MID($D17,2,1)="1"),AND(NOT(MID($D17,2,1)="1"),MID($D17,3,1)="1"))),1,0)</f>
        <v>1</v>
      </c>
      <c r="V17" s="36">
        <f>IF(OR(AND(NOT(MID($D17,1,1)="1"),MID($D17,2,1)="1",MID($D17,3,1)="1"),AND(MID($D17,1,1)="1",NOT(MID($D17,2,1)="1"),NOT(MID($D17,3,1)="1")),AND(MID($D17,1,1)="1",NOT(MID($D17,2,1)="1"),MID($D17,3,1)="1",$F17="1")),1,0)</f>
        <v>1</v>
      </c>
      <c r="W17" s="36">
        <f>IF(AND(MID($G17,1,1)="1",OR(AND(NOT(MID($D17,1,1)="1"),MID($D17,2,1)="1"),AND(MID($D17,2,1)="1",NOT(MID($D17,3,1)="1")),AND(NOT(MID($D17,1,1)="1"),NOT(MID($D17,2,1)="1"),NOT(MID($D17,3,1)="1"),$F17="1",NOT(MID($G17,2,1)="1")),AND(MID($D17,1,1)="1",NOT(MID($D17,2,1)="1"),MID($D17,3,1)="1"))),1,0)</f>
        <v>1</v>
      </c>
      <c r="X17" s="36" t="str">
        <f>T17&amp;U17&amp;V17&amp;W17</f>
        <v>0111</v>
      </c>
      <c r="Y17" s="20" t="str">
        <f>IFERROR(INDEX(ALUCtrl_Key!$B$5:$B$20,MATCH(X17,ALUCtrl_Key!$A$5:$A$20,0)),"?")</f>
        <v>sltu (unsigned less-than)</v>
      </c>
      <c r="Z17" s="20" t="str">
        <f>IF(H17="00","rs1 (s_read1)",IF(H17="01","PC (s_pc_out)","0"))</f>
        <v>rs1 (s_read1)</v>
      </c>
      <c r="AA17" s="20" t="str">
        <f>IF(I17="1","immediate (s_immgen)","rs2 (s_read2)")</f>
        <v>immediate (s_immgen)</v>
      </c>
      <c r="AB17" s="20" t="str">
        <f>IF(R17="1","PC (held)",IF(Q17="1","(rs1 + imm) with bit 0 cleared",IF(P17="1","PC + imm",IF(O17="1","PC + imm if taken, else PC + 4","PC + 4"))))</f>
        <v>PC + 4</v>
      </c>
      <c r="AC17" s="20" t="str">
        <f>IF(J17="0","nothing",IF(N17="1","PC + 4",IF(M17="1","load data (LOAD_U)","ALU result")))</f>
        <v>ALU result</v>
      </c>
      <c r="AD17" s="19"/>
      <c r="AE17" s="19"/>
    </row>
    <row r="18" spans="1:31" x14ac:dyDescent="0.2">
      <c r="A18" s="50" t="s">
        <v>117</v>
      </c>
      <c r="B18" s="35" t="s">
        <v>106</v>
      </c>
      <c r="C18" s="35" t="s">
        <v>107</v>
      </c>
      <c r="D18" s="35" t="s">
        <v>103</v>
      </c>
      <c r="E18" s="35" t="s">
        <v>91</v>
      </c>
      <c r="F18" s="35" t="s">
        <v>92</v>
      </c>
      <c r="G18" s="35" t="s">
        <v>110</v>
      </c>
      <c r="H18" s="35" t="s">
        <v>94</v>
      </c>
      <c r="I18" s="35" t="s">
        <v>95</v>
      </c>
      <c r="J18" s="35" t="s">
        <v>95</v>
      </c>
      <c r="K18" s="35" t="s">
        <v>92</v>
      </c>
      <c r="L18" s="35" t="s">
        <v>92</v>
      </c>
      <c r="M18" s="35" t="s">
        <v>92</v>
      </c>
      <c r="N18" s="35" t="s">
        <v>92</v>
      </c>
      <c r="O18" s="35" t="s">
        <v>92</v>
      </c>
      <c r="P18" s="35" t="s">
        <v>92</v>
      </c>
      <c r="Q18" s="35" t="s">
        <v>92</v>
      </c>
      <c r="R18" s="35" t="s">
        <v>92</v>
      </c>
      <c r="S18" s="35" t="s">
        <v>118</v>
      </c>
      <c r="T18" s="36">
        <f>IF(AND(MID($G18,1,1)="1",OR(MID($D18,1,1)="1",AND(NOT(MID($D18,2,1)="1"),MID($D18,3,1)="1"))),1,0)</f>
        <v>1</v>
      </c>
      <c r="U18" s="36">
        <f>IF(AND(MID($G18,1,1)="1",OR(AND(NOT(MID($D18,1,1)="1"),MID($D18,2,1)="1"),AND(NOT(MID($D18,2,1)="1"),MID($D18,3,1)="1"))),1,0)</f>
        <v>1</v>
      </c>
      <c r="V18" s="36">
        <f>IF(OR(AND(NOT(MID($D18,1,1)="1"),MID($D18,2,1)="1",MID($D18,3,1)="1"),AND(MID($D18,1,1)="1",NOT(MID($D18,2,1)="1"),NOT(MID($D18,3,1)="1")),AND(MID($D18,1,1)="1",NOT(MID($D18,2,1)="1"),MID($D18,3,1)="1",$F18="1")),1,0)</f>
        <v>0</v>
      </c>
      <c r="W18" s="36">
        <f>IF(AND(MID($G18,1,1)="1",OR(AND(NOT(MID($D18,1,1)="1"),MID($D18,2,1)="1"),AND(MID($D18,2,1)="1",NOT(MID($D18,3,1)="1")),AND(NOT(MID($D18,1,1)="1"),NOT(MID($D18,2,1)="1"),NOT(MID($D18,3,1)="1"),$F18="1",NOT(MID($G18,2,1)="1")),AND(MID($D18,1,1)="1",NOT(MID($D18,2,1)="1"),MID($D18,3,1)="1"))),1,0)</f>
        <v>0</v>
      </c>
      <c r="X18" s="36" t="str">
        <f>T18&amp;U18&amp;V18&amp;W18</f>
        <v>1100</v>
      </c>
      <c r="Y18" s="20" t="str">
        <f>IFERROR(INDEX(ALUCtrl_Key!$B$5:$B$20,MATCH(X18,ALUCtrl_Key!$A$5:$A$20,0)),"?")</f>
        <v>sll</v>
      </c>
      <c r="Z18" s="20" t="str">
        <f>IF(H18="00","rs1 (s_read1)",IF(H18="01","PC (s_pc_out)","0"))</f>
        <v>rs1 (s_read1)</v>
      </c>
      <c r="AA18" s="20" t="str">
        <f>IF(I18="1","immediate (s_immgen)","rs2 (s_read2)")</f>
        <v>immediate (s_immgen)</v>
      </c>
      <c r="AB18" s="20" t="str">
        <f>IF(R18="1","PC (held)",IF(Q18="1","(rs1 + imm) with bit 0 cleared",IF(P18="1","PC + imm",IF(O18="1","PC + imm if taken, else PC + 4","PC + 4"))))</f>
        <v>PC + 4</v>
      </c>
      <c r="AC18" s="20" t="str">
        <f>IF(J18="0","nothing",IF(N18="1","PC + 4",IF(M18="1","load data (LOAD_U)","ALU result")))</f>
        <v>ALU result</v>
      </c>
      <c r="AD18" s="19"/>
      <c r="AE18" s="19"/>
    </row>
    <row r="19" spans="1:31" x14ac:dyDescent="0.2">
      <c r="A19" s="50" t="s">
        <v>119</v>
      </c>
      <c r="B19" s="35" t="s">
        <v>106</v>
      </c>
      <c r="C19" s="35" t="s">
        <v>107</v>
      </c>
      <c r="D19" s="35" t="s">
        <v>104</v>
      </c>
      <c r="E19" s="35" t="s">
        <v>91</v>
      </c>
      <c r="F19" s="35" t="s">
        <v>92</v>
      </c>
      <c r="G19" s="35" t="s">
        <v>110</v>
      </c>
      <c r="H19" s="35" t="s">
        <v>94</v>
      </c>
      <c r="I19" s="35" t="s">
        <v>95</v>
      </c>
      <c r="J19" s="35" t="s">
        <v>95</v>
      </c>
      <c r="K19" s="35" t="s">
        <v>92</v>
      </c>
      <c r="L19" s="35" t="s">
        <v>92</v>
      </c>
      <c r="M19" s="35" t="s">
        <v>92</v>
      </c>
      <c r="N19" s="35" t="s">
        <v>92</v>
      </c>
      <c r="O19" s="35" t="s">
        <v>92</v>
      </c>
      <c r="P19" s="35" t="s">
        <v>92</v>
      </c>
      <c r="Q19" s="35" t="s">
        <v>92</v>
      </c>
      <c r="R19" s="35" t="s">
        <v>92</v>
      </c>
      <c r="S19" s="35" t="s">
        <v>118</v>
      </c>
      <c r="T19" s="36">
        <f>IF(AND(MID($G19,1,1)="1",OR(MID($D19,1,1)="1",AND(NOT(MID($D19,2,1)="1"),MID($D19,3,1)="1"))),1,0)</f>
        <v>1</v>
      </c>
      <c r="U19" s="36">
        <f>IF(AND(MID($G19,1,1)="1",OR(AND(NOT(MID($D19,1,1)="1"),MID($D19,2,1)="1"),AND(NOT(MID($D19,2,1)="1"),MID($D19,3,1)="1"))),1,0)</f>
        <v>1</v>
      </c>
      <c r="V19" s="36">
        <f>IF(OR(AND(NOT(MID($D19,1,1)="1"),MID($D19,2,1)="1",MID($D19,3,1)="1"),AND(MID($D19,1,1)="1",NOT(MID($D19,2,1)="1"),NOT(MID($D19,3,1)="1")),AND(MID($D19,1,1)="1",NOT(MID($D19,2,1)="1"),MID($D19,3,1)="1",$F19="1")),1,0)</f>
        <v>0</v>
      </c>
      <c r="W19" s="36">
        <f>IF(AND(MID($G19,1,1)="1",OR(AND(NOT(MID($D19,1,1)="1"),MID($D19,2,1)="1"),AND(MID($D19,2,1)="1",NOT(MID($D19,3,1)="1")),AND(NOT(MID($D19,1,1)="1"),NOT(MID($D19,2,1)="1"),NOT(MID($D19,3,1)="1"),$F19="1",NOT(MID($G19,2,1)="1")),AND(MID($D19,1,1)="1",NOT(MID($D19,2,1)="1"),MID($D19,3,1)="1"))),1,0)</f>
        <v>1</v>
      </c>
      <c r="X19" s="36" t="str">
        <f>T19&amp;U19&amp;V19&amp;W19</f>
        <v>1101</v>
      </c>
      <c r="Y19" s="20" t="str">
        <f>IFERROR(INDEX(ALUCtrl_Key!$B$5:$B$20,MATCH(X19,ALUCtrl_Key!$A$5:$A$20,0)),"?")</f>
        <v>srl</v>
      </c>
      <c r="Z19" s="20" t="str">
        <f>IF(H19="00","rs1 (s_read1)",IF(H19="01","PC (s_pc_out)","0"))</f>
        <v>rs1 (s_read1)</v>
      </c>
      <c r="AA19" s="20" t="str">
        <f>IF(I19="1","immediate (s_immgen)","rs2 (s_read2)")</f>
        <v>immediate (s_immgen)</v>
      </c>
      <c r="AB19" s="20" t="str">
        <f>IF(R19="1","PC (held)",IF(Q19="1","(rs1 + imm) with bit 0 cleared",IF(P19="1","PC + imm",IF(O19="1","PC + imm if taken, else PC + 4","PC + 4"))))</f>
        <v>PC + 4</v>
      </c>
      <c r="AC19" s="20" t="str">
        <f>IF(J19="0","nothing",IF(N19="1","PC + 4",IF(M19="1","load data (LOAD_U)","ALU result")))</f>
        <v>ALU result</v>
      </c>
      <c r="AD19" s="19"/>
      <c r="AE19" s="19"/>
    </row>
    <row r="20" spans="1:31" x14ac:dyDescent="0.2">
      <c r="A20" s="50" t="s">
        <v>120</v>
      </c>
      <c r="B20" s="35" t="s">
        <v>106</v>
      </c>
      <c r="C20" s="35" t="s">
        <v>107</v>
      </c>
      <c r="D20" s="35" t="s">
        <v>104</v>
      </c>
      <c r="E20" s="35" t="s">
        <v>97</v>
      </c>
      <c r="F20" s="35" t="s">
        <v>95</v>
      </c>
      <c r="G20" s="35" t="s">
        <v>110</v>
      </c>
      <c r="H20" s="35" t="s">
        <v>94</v>
      </c>
      <c r="I20" s="35" t="s">
        <v>95</v>
      </c>
      <c r="J20" s="35" t="s">
        <v>95</v>
      </c>
      <c r="K20" s="35" t="s">
        <v>92</v>
      </c>
      <c r="L20" s="35" t="s">
        <v>92</v>
      </c>
      <c r="M20" s="35" t="s">
        <v>92</v>
      </c>
      <c r="N20" s="35" t="s">
        <v>92</v>
      </c>
      <c r="O20" s="35" t="s">
        <v>92</v>
      </c>
      <c r="P20" s="35" t="s">
        <v>92</v>
      </c>
      <c r="Q20" s="35" t="s">
        <v>92</v>
      </c>
      <c r="R20" s="35" t="s">
        <v>92</v>
      </c>
      <c r="S20" s="35" t="s">
        <v>118</v>
      </c>
      <c r="T20" s="36">
        <f>IF(AND(MID($G20,1,1)="1",OR(MID($D20,1,1)="1",AND(NOT(MID($D20,2,1)="1"),MID($D20,3,1)="1"))),1,0)</f>
        <v>1</v>
      </c>
      <c r="U20" s="36">
        <f>IF(AND(MID($G20,1,1)="1",OR(AND(NOT(MID($D20,1,1)="1"),MID($D20,2,1)="1"),AND(NOT(MID($D20,2,1)="1"),MID($D20,3,1)="1"))),1,0)</f>
        <v>1</v>
      </c>
      <c r="V20" s="36">
        <f>IF(OR(AND(NOT(MID($D20,1,1)="1"),MID($D20,2,1)="1",MID($D20,3,1)="1"),AND(MID($D20,1,1)="1",NOT(MID($D20,2,1)="1"),NOT(MID($D20,3,1)="1")),AND(MID($D20,1,1)="1",NOT(MID($D20,2,1)="1"),MID($D20,3,1)="1",$F20="1")),1,0)</f>
        <v>1</v>
      </c>
      <c r="W20" s="36">
        <f>IF(AND(MID($G20,1,1)="1",OR(AND(NOT(MID($D20,1,1)="1"),MID($D20,2,1)="1"),AND(MID($D20,2,1)="1",NOT(MID($D20,3,1)="1")),AND(NOT(MID($D20,1,1)="1"),NOT(MID($D20,2,1)="1"),NOT(MID($D20,3,1)="1"),$F20="1",NOT(MID($G20,2,1)="1")),AND(MID($D20,1,1)="1",NOT(MID($D20,2,1)="1"),MID($D20,3,1)="1"))),1,0)</f>
        <v>1</v>
      </c>
      <c r="X20" s="36" t="str">
        <f>T20&amp;U20&amp;V20&amp;W20</f>
        <v>1111</v>
      </c>
      <c r="Y20" s="20" t="str">
        <f>IFERROR(INDEX(ALUCtrl_Key!$B$5:$B$20,MATCH(X20,ALUCtrl_Key!$A$5:$A$20,0)),"?")</f>
        <v>sra</v>
      </c>
      <c r="Z20" s="20" t="str">
        <f>IF(H20="00","rs1 (s_read1)",IF(H20="01","PC (s_pc_out)","0"))</f>
        <v>rs1 (s_read1)</v>
      </c>
      <c r="AA20" s="20" t="str">
        <f>IF(I20="1","immediate (s_immgen)","rs2 (s_read2)")</f>
        <v>immediate (s_immgen)</v>
      </c>
      <c r="AB20" s="20" t="str">
        <f>IF(R20="1","PC (held)",IF(Q20="1","(rs1 + imm) with bit 0 cleared",IF(P20="1","PC + imm",IF(O20="1","PC + imm if taken, else PC + 4","PC + 4"))))</f>
        <v>PC + 4</v>
      </c>
      <c r="AC20" s="20" t="str">
        <f>IF(J20="0","nothing",IF(N20="1","PC + 4",IF(M20="1","load data (LOAD_U)","ALU result")))</f>
        <v>ALU result</v>
      </c>
      <c r="AD20" s="19"/>
      <c r="AE20" s="19"/>
    </row>
    <row r="21" spans="1:31" x14ac:dyDescent="0.2">
      <c r="A21" s="51" t="s">
        <v>121</v>
      </c>
      <c r="B21" s="37" t="s">
        <v>106</v>
      </c>
      <c r="C21" s="37" t="s">
        <v>122</v>
      </c>
      <c r="D21" s="37" t="s">
        <v>90</v>
      </c>
      <c r="E21" s="37" t="s">
        <v>108</v>
      </c>
      <c r="F21" s="37" t="s">
        <v>109</v>
      </c>
      <c r="G21" s="37" t="s">
        <v>94</v>
      </c>
      <c r="H21" s="37" t="s">
        <v>94</v>
      </c>
      <c r="I21" s="37" t="s">
        <v>95</v>
      </c>
      <c r="J21" s="37" t="s">
        <v>95</v>
      </c>
      <c r="K21" s="37" t="s">
        <v>95</v>
      </c>
      <c r="L21" s="37" t="s">
        <v>92</v>
      </c>
      <c r="M21" s="37" t="s">
        <v>95</v>
      </c>
      <c r="N21" s="37" t="s">
        <v>92</v>
      </c>
      <c r="O21" s="37" t="s">
        <v>92</v>
      </c>
      <c r="P21" s="37" t="s">
        <v>92</v>
      </c>
      <c r="Q21" s="37" t="s">
        <v>92</v>
      </c>
      <c r="R21" s="37" t="s">
        <v>92</v>
      </c>
      <c r="S21" s="37" t="s">
        <v>106</v>
      </c>
      <c r="T21" s="38">
        <f>IF(AND(MID($G21,1,1)="1",OR(MID($D21,1,1)="1",AND(NOT(MID($D21,2,1)="1"),MID($D21,3,1)="1"))),1,0)</f>
        <v>0</v>
      </c>
      <c r="U21" s="38">
        <f>IF(AND(MID($G21,1,1)="1",OR(AND(NOT(MID($D21,1,1)="1"),MID($D21,2,1)="1"),AND(NOT(MID($D21,2,1)="1"),MID($D21,3,1)="1"))),1,0)</f>
        <v>0</v>
      </c>
      <c r="V21" s="38">
        <f>IF(OR(AND(NOT(MID($D21,1,1)="1"),MID($D21,2,1)="1",MID($D21,3,1)="1"),AND(MID($D21,1,1)="1",NOT(MID($D21,2,1)="1"),NOT(MID($D21,3,1)="1")),AND(MID($D21,1,1)="1",NOT(MID($D21,2,1)="1"),MID($D21,3,1)="1",$F21="1")),1,0)</f>
        <v>0</v>
      </c>
      <c r="W21" s="38">
        <f>IF(AND(MID($G21,1,1)="1",OR(AND(NOT(MID($D21,1,1)="1"),MID($D21,2,1)="1"),AND(MID($D21,2,1)="1",NOT(MID($D21,3,1)="1")),AND(NOT(MID($D21,1,1)="1"),NOT(MID($D21,2,1)="1"),NOT(MID($D21,3,1)="1"),$F21="1",NOT(MID($G21,2,1)="1")),AND(MID($D21,1,1)="1",NOT(MID($D21,2,1)="1"),MID($D21,3,1)="1"))),1,0)</f>
        <v>0</v>
      </c>
      <c r="X21" s="38" t="str">
        <f>T21&amp;U21&amp;V21&amp;W21</f>
        <v>0000</v>
      </c>
      <c r="Y21" s="22" t="str">
        <f>IFERROR(INDEX(ALUCtrl_Key!$B$5:$B$20,MATCH(X21,ALUCtrl_Key!$A$5:$A$20,0)),"?")</f>
        <v>add</v>
      </c>
      <c r="Z21" s="22" t="str">
        <f>IF(H21="00","rs1 (s_read1)",IF(H21="01","PC (s_pc_out)","0"))</f>
        <v>rs1 (s_read1)</v>
      </c>
      <c r="AA21" s="22" t="str">
        <f>IF(I21="1","immediate (s_immgen)","rs2 (s_read2)")</f>
        <v>immediate (s_immgen)</v>
      </c>
      <c r="AB21" s="22" t="str">
        <f>IF(R21="1","PC (held)",IF(Q21="1","(rs1 + imm) with bit 0 cleared",IF(P21="1","PC + imm",IF(O21="1","PC + imm if taken, else PC + 4","PC + 4"))))</f>
        <v>PC + 4</v>
      </c>
      <c r="AC21" s="22" t="str">
        <f>IF(J21="0","nothing",IF(N21="1","PC + 4",IF(M21="1","load data (LOAD_U)","ALU result")))</f>
        <v>load data (LOAD_U)</v>
      </c>
      <c r="AD21" s="21" t="s">
        <v>123</v>
      </c>
      <c r="AE21" s="21"/>
    </row>
    <row r="22" spans="1:31" x14ac:dyDescent="0.2">
      <c r="A22" s="51" t="s">
        <v>124</v>
      </c>
      <c r="B22" s="37" t="s">
        <v>106</v>
      </c>
      <c r="C22" s="37" t="s">
        <v>122</v>
      </c>
      <c r="D22" s="37" t="s">
        <v>103</v>
      </c>
      <c r="E22" s="37" t="s">
        <v>108</v>
      </c>
      <c r="F22" s="37" t="s">
        <v>109</v>
      </c>
      <c r="G22" s="37" t="s">
        <v>94</v>
      </c>
      <c r="H22" s="37" t="s">
        <v>94</v>
      </c>
      <c r="I22" s="37" t="s">
        <v>95</v>
      </c>
      <c r="J22" s="37" t="s">
        <v>95</v>
      </c>
      <c r="K22" s="37" t="s">
        <v>95</v>
      </c>
      <c r="L22" s="37" t="s">
        <v>92</v>
      </c>
      <c r="M22" s="37" t="s">
        <v>95</v>
      </c>
      <c r="N22" s="37" t="s">
        <v>92</v>
      </c>
      <c r="O22" s="37" t="s">
        <v>92</v>
      </c>
      <c r="P22" s="37" t="s">
        <v>92</v>
      </c>
      <c r="Q22" s="37" t="s">
        <v>92</v>
      </c>
      <c r="R22" s="37" t="s">
        <v>92</v>
      </c>
      <c r="S22" s="37" t="s">
        <v>106</v>
      </c>
      <c r="T22" s="38">
        <f>IF(AND(MID($G22,1,1)="1",OR(MID($D22,1,1)="1",AND(NOT(MID($D22,2,1)="1"),MID($D22,3,1)="1"))),1,0)</f>
        <v>0</v>
      </c>
      <c r="U22" s="38">
        <f>IF(AND(MID($G22,1,1)="1",OR(AND(NOT(MID($D22,1,1)="1"),MID($D22,2,1)="1"),AND(NOT(MID($D22,2,1)="1"),MID($D22,3,1)="1"))),1,0)</f>
        <v>0</v>
      </c>
      <c r="V22" s="38">
        <f>IF(OR(AND(NOT(MID($D22,1,1)="1"),MID($D22,2,1)="1",MID($D22,3,1)="1"),AND(MID($D22,1,1)="1",NOT(MID($D22,2,1)="1"),NOT(MID($D22,3,1)="1")),AND(MID($D22,1,1)="1",NOT(MID($D22,2,1)="1"),MID($D22,3,1)="1",$F22="1")),1,0)</f>
        <v>0</v>
      </c>
      <c r="W22" s="38">
        <f>IF(AND(MID($G22,1,1)="1",OR(AND(NOT(MID($D22,1,1)="1"),MID($D22,2,1)="1"),AND(MID($D22,2,1)="1",NOT(MID($D22,3,1)="1")),AND(NOT(MID($D22,1,1)="1"),NOT(MID($D22,2,1)="1"),NOT(MID($D22,3,1)="1"),$F22="1",NOT(MID($G22,2,1)="1")),AND(MID($D22,1,1)="1",NOT(MID($D22,2,1)="1"),MID($D22,3,1)="1"))),1,0)</f>
        <v>0</v>
      </c>
      <c r="X22" s="38" t="str">
        <f>T22&amp;U22&amp;V22&amp;W22</f>
        <v>0000</v>
      </c>
      <c r="Y22" s="22" t="str">
        <f>IFERROR(INDEX(ALUCtrl_Key!$B$5:$B$20,MATCH(X22,ALUCtrl_Key!$A$5:$A$20,0)),"?")</f>
        <v>add</v>
      </c>
      <c r="Z22" s="22" t="str">
        <f>IF(H22="00","rs1 (s_read1)",IF(H22="01","PC (s_pc_out)","0"))</f>
        <v>rs1 (s_read1)</v>
      </c>
      <c r="AA22" s="22" t="str">
        <f>IF(I22="1","immediate (s_immgen)","rs2 (s_read2)")</f>
        <v>immediate (s_immgen)</v>
      </c>
      <c r="AB22" s="22" t="str">
        <f>IF(R22="1","PC (held)",IF(Q22="1","(rs1 + imm) with bit 0 cleared",IF(P22="1","PC + imm",IF(O22="1","PC + imm if taken, else PC + 4","PC + 4"))))</f>
        <v>PC + 4</v>
      </c>
      <c r="AC22" s="22" t="str">
        <f>IF(J22="0","nothing",IF(N22="1","PC + 4",IF(M22="1","load data (LOAD_U)","ALU result")))</f>
        <v>load data (LOAD_U)</v>
      </c>
      <c r="AD22" s="21" t="s">
        <v>125</v>
      </c>
      <c r="AE22" s="21"/>
    </row>
    <row r="23" spans="1:31" x14ac:dyDescent="0.2">
      <c r="A23" s="51" t="s">
        <v>126</v>
      </c>
      <c r="B23" s="37" t="s">
        <v>106</v>
      </c>
      <c r="C23" s="37" t="s">
        <v>122</v>
      </c>
      <c r="D23" s="37" t="s">
        <v>102</v>
      </c>
      <c r="E23" s="37" t="s">
        <v>108</v>
      </c>
      <c r="F23" s="37" t="s">
        <v>109</v>
      </c>
      <c r="G23" s="37" t="s">
        <v>94</v>
      </c>
      <c r="H23" s="37" t="s">
        <v>94</v>
      </c>
      <c r="I23" s="37" t="s">
        <v>95</v>
      </c>
      <c r="J23" s="37" t="s">
        <v>95</v>
      </c>
      <c r="K23" s="37" t="s">
        <v>95</v>
      </c>
      <c r="L23" s="37" t="s">
        <v>92</v>
      </c>
      <c r="M23" s="37" t="s">
        <v>95</v>
      </c>
      <c r="N23" s="37" t="s">
        <v>92</v>
      </c>
      <c r="O23" s="37" t="s">
        <v>92</v>
      </c>
      <c r="P23" s="37" t="s">
        <v>92</v>
      </c>
      <c r="Q23" s="37" t="s">
        <v>92</v>
      </c>
      <c r="R23" s="37" t="s">
        <v>92</v>
      </c>
      <c r="S23" s="37" t="s">
        <v>106</v>
      </c>
      <c r="T23" s="38">
        <f>IF(AND(MID($G23,1,1)="1",OR(MID($D23,1,1)="1",AND(NOT(MID($D23,2,1)="1"),MID($D23,3,1)="1"))),1,0)</f>
        <v>0</v>
      </c>
      <c r="U23" s="38">
        <f>IF(AND(MID($G23,1,1)="1",OR(AND(NOT(MID($D23,1,1)="1"),MID($D23,2,1)="1"),AND(NOT(MID($D23,2,1)="1"),MID($D23,3,1)="1"))),1,0)</f>
        <v>0</v>
      </c>
      <c r="V23" s="38">
        <f>IF(OR(AND(NOT(MID($D23,1,1)="1"),MID($D23,2,1)="1",MID($D23,3,1)="1"),AND(MID($D23,1,1)="1",NOT(MID($D23,2,1)="1"),NOT(MID($D23,3,1)="1")),AND(MID($D23,1,1)="1",NOT(MID($D23,2,1)="1"),MID($D23,3,1)="1",$F23="1")),1,0)</f>
        <v>0</v>
      </c>
      <c r="W23" s="38">
        <f>IF(AND(MID($G23,1,1)="1",OR(AND(NOT(MID($D23,1,1)="1"),MID($D23,2,1)="1"),AND(MID($D23,2,1)="1",NOT(MID($D23,3,1)="1")),AND(NOT(MID($D23,1,1)="1"),NOT(MID($D23,2,1)="1"),NOT(MID($D23,3,1)="1"),$F23="1",NOT(MID($G23,2,1)="1")),AND(MID($D23,1,1)="1",NOT(MID($D23,2,1)="1"),MID($D23,3,1)="1"))),1,0)</f>
        <v>0</v>
      </c>
      <c r="X23" s="38" t="str">
        <f>T23&amp;U23&amp;V23&amp;W23</f>
        <v>0000</v>
      </c>
      <c r="Y23" s="22" t="str">
        <f>IFERROR(INDEX(ALUCtrl_Key!$B$5:$B$20,MATCH(X23,ALUCtrl_Key!$A$5:$A$20,0)),"?")</f>
        <v>add</v>
      </c>
      <c r="Z23" s="22" t="str">
        <f>IF(H23="00","rs1 (s_read1)",IF(H23="01","PC (s_pc_out)","0"))</f>
        <v>rs1 (s_read1)</v>
      </c>
      <c r="AA23" s="22" t="str">
        <f>IF(I23="1","immediate (s_immgen)","rs2 (s_read2)")</f>
        <v>immediate (s_immgen)</v>
      </c>
      <c r="AB23" s="22" t="str">
        <f>IF(R23="1","PC (held)",IF(Q23="1","(rs1 + imm) with bit 0 cleared",IF(P23="1","PC + imm",IF(O23="1","PC + imm if taken, else PC + 4","PC + 4"))))</f>
        <v>PC + 4</v>
      </c>
      <c r="AC23" s="22" t="str">
        <f>IF(J23="0","nothing",IF(N23="1","PC + 4",IF(M23="1","load data (LOAD_U)","ALU result")))</f>
        <v>load data (LOAD_U)</v>
      </c>
      <c r="AD23" s="21" t="s">
        <v>127</v>
      </c>
      <c r="AE23" s="21"/>
    </row>
    <row r="24" spans="1:31" x14ac:dyDescent="0.2">
      <c r="A24" s="51" t="s">
        <v>128</v>
      </c>
      <c r="B24" s="37" t="s">
        <v>106</v>
      </c>
      <c r="C24" s="37" t="s">
        <v>122</v>
      </c>
      <c r="D24" s="37" t="s">
        <v>100</v>
      </c>
      <c r="E24" s="37" t="s">
        <v>108</v>
      </c>
      <c r="F24" s="37" t="s">
        <v>109</v>
      </c>
      <c r="G24" s="37" t="s">
        <v>94</v>
      </c>
      <c r="H24" s="37" t="s">
        <v>94</v>
      </c>
      <c r="I24" s="37" t="s">
        <v>95</v>
      </c>
      <c r="J24" s="37" t="s">
        <v>95</v>
      </c>
      <c r="K24" s="37" t="s">
        <v>95</v>
      </c>
      <c r="L24" s="37" t="s">
        <v>92</v>
      </c>
      <c r="M24" s="37" t="s">
        <v>95</v>
      </c>
      <c r="N24" s="37" t="s">
        <v>92</v>
      </c>
      <c r="O24" s="37" t="s">
        <v>92</v>
      </c>
      <c r="P24" s="37" t="s">
        <v>92</v>
      </c>
      <c r="Q24" s="37" t="s">
        <v>92</v>
      </c>
      <c r="R24" s="37" t="s">
        <v>92</v>
      </c>
      <c r="S24" s="37" t="s">
        <v>106</v>
      </c>
      <c r="T24" s="38">
        <f>IF(AND(MID($G24,1,1)="1",OR(MID($D24,1,1)="1",AND(NOT(MID($D24,2,1)="1"),MID($D24,3,1)="1"))),1,0)</f>
        <v>0</v>
      </c>
      <c r="U24" s="38">
        <f>IF(AND(MID($G24,1,1)="1",OR(AND(NOT(MID($D24,1,1)="1"),MID($D24,2,1)="1"),AND(NOT(MID($D24,2,1)="1"),MID($D24,3,1)="1"))),1,0)</f>
        <v>0</v>
      </c>
      <c r="V24" s="38">
        <f>IF(OR(AND(NOT(MID($D24,1,1)="1"),MID($D24,2,1)="1",MID($D24,3,1)="1"),AND(MID($D24,1,1)="1",NOT(MID($D24,2,1)="1"),NOT(MID($D24,3,1)="1")),AND(MID($D24,1,1)="1",NOT(MID($D24,2,1)="1"),MID($D24,3,1)="1",$F24="1")),1,0)</f>
        <v>1</v>
      </c>
      <c r="W24" s="38">
        <f>IF(AND(MID($G24,1,1)="1",OR(AND(NOT(MID($D24,1,1)="1"),MID($D24,2,1)="1"),AND(MID($D24,2,1)="1",NOT(MID($D24,3,1)="1")),AND(NOT(MID($D24,1,1)="1"),NOT(MID($D24,2,1)="1"),NOT(MID($D24,3,1)="1"),$F24="1",NOT(MID($G24,2,1)="1")),AND(MID($D24,1,1)="1",NOT(MID($D24,2,1)="1"),MID($D24,3,1)="1"))),1,0)</f>
        <v>0</v>
      </c>
      <c r="X24" s="38" t="str">
        <f>T24&amp;U24&amp;V24&amp;W24</f>
        <v>0010</v>
      </c>
      <c r="Y24" s="22" t="str">
        <f>IFERROR(INDEX(ALUCtrl_Key!$B$5:$B$20,MATCH(X24,ALUCtrl_Key!$A$5:$A$20,0)),"?")</f>
        <v>add (unsigned flag set, sum unchanged)</v>
      </c>
      <c r="Z24" s="22" t="str">
        <f>IF(H24="00","rs1 (s_read1)",IF(H24="01","PC (s_pc_out)","0"))</f>
        <v>rs1 (s_read1)</v>
      </c>
      <c r="AA24" s="22" t="str">
        <f>IF(I24="1","immediate (s_immgen)","rs2 (s_read2)")</f>
        <v>immediate (s_immgen)</v>
      </c>
      <c r="AB24" s="22" t="str">
        <f>IF(R24="1","PC (held)",IF(Q24="1","(rs1 + imm) with bit 0 cleared",IF(P24="1","PC + imm",IF(O24="1","PC + imm if taken, else PC + 4","PC + 4"))))</f>
        <v>PC + 4</v>
      </c>
      <c r="AC24" s="22" t="str">
        <f>IF(J24="0","nothing",IF(N24="1","PC + 4",IF(M24="1","load data (LOAD_U)","ALU result")))</f>
        <v>load data (LOAD_U)</v>
      </c>
      <c r="AD24" s="21" t="s">
        <v>129</v>
      </c>
      <c r="AE24" s="21" t="s">
        <v>130</v>
      </c>
    </row>
    <row r="25" spans="1:31" x14ac:dyDescent="0.2">
      <c r="A25" s="51" t="s">
        <v>131</v>
      </c>
      <c r="B25" s="37" t="s">
        <v>106</v>
      </c>
      <c r="C25" s="37" t="s">
        <v>122</v>
      </c>
      <c r="D25" s="37" t="s">
        <v>104</v>
      </c>
      <c r="E25" s="37" t="s">
        <v>108</v>
      </c>
      <c r="F25" s="37" t="s">
        <v>109</v>
      </c>
      <c r="G25" s="37" t="s">
        <v>94</v>
      </c>
      <c r="H25" s="37" t="s">
        <v>94</v>
      </c>
      <c r="I25" s="37" t="s">
        <v>95</v>
      </c>
      <c r="J25" s="37" t="s">
        <v>95</v>
      </c>
      <c r="K25" s="37" t="s">
        <v>95</v>
      </c>
      <c r="L25" s="37" t="s">
        <v>92</v>
      </c>
      <c r="M25" s="37" t="s">
        <v>95</v>
      </c>
      <c r="N25" s="37" t="s">
        <v>92</v>
      </c>
      <c r="O25" s="37" t="s">
        <v>92</v>
      </c>
      <c r="P25" s="37" t="s">
        <v>92</v>
      </c>
      <c r="Q25" s="37" t="s">
        <v>92</v>
      </c>
      <c r="R25" s="37" t="s">
        <v>92</v>
      </c>
      <c r="S25" s="37" t="s">
        <v>106</v>
      </c>
      <c r="T25" s="38">
        <f>IF(AND(MID($G25,1,1)="1",OR(MID($D25,1,1)="1",AND(NOT(MID($D25,2,1)="1"),MID($D25,3,1)="1"))),1,0)</f>
        <v>0</v>
      </c>
      <c r="U25" s="38">
        <f>IF(AND(MID($G25,1,1)="1",OR(AND(NOT(MID($D25,1,1)="1"),MID($D25,2,1)="1"),AND(NOT(MID($D25,2,1)="1"),MID($D25,3,1)="1"))),1,0)</f>
        <v>0</v>
      </c>
      <c r="V25" s="38">
        <f>IF(OR(AND(NOT(MID($D25,1,1)="1"),MID($D25,2,1)="1",MID($D25,3,1)="1"),AND(MID($D25,1,1)="1",NOT(MID($D25,2,1)="1"),NOT(MID($D25,3,1)="1")),AND(MID($D25,1,1)="1",NOT(MID($D25,2,1)="1"),MID($D25,3,1)="1",$F25="1")),1,0)</f>
        <v>0</v>
      </c>
      <c r="W25" s="38">
        <f>IF(AND(MID($G25,1,1)="1",OR(AND(NOT(MID($D25,1,1)="1"),MID($D25,2,1)="1"),AND(MID($D25,2,1)="1",NOT(MID($D25,3,1)="1")),AND(NOT(MID($D25,1,1)="1"),NOT(MID($D25,2,1)="1"),NOT(MID($D25,3,1)="1"),$F25="1",NOT(MID($G25,2,1)="1")),AND(MID($D25,1,1)="1",NOT(MID($D25,2,1)="1"),MID($D25,3,1)="1"))),1,0)</f>
        <v>0</v>
      </c>
      <c r="X25" s="38" t="str">
        <f>T25&amp;U25&amp;V25&amp;W25</f>
        <v>0000</v>
      </c>
      <c r="Y25" s="22" t="str">
        <f>IFERROR(INDEX(ALUCtrl_Key!$B$5:$B$20,MATCH(X25,ALUCtrl_Key!$A$5:$A$20,0)),"?")</f>
        <v>add</v>
      </c>
      <c r="Z25" s="22" t="str">
        <f>IF(H25="00","rs1 (s_read1)",IF(H25="01","PC (s_pc_out)","0"))</f>
        <v>rs1 (s_read1)</v>
      </c>
      <c r="AA25" s="22" t="str">
        <f>IF(I25="1","immediate (s_immgen)","rs2 (s_read2)")</f>
        <v>immediate (s_immgen)</v>
      </c>
      <c r="AB25" s="22" t="str">
        <f>IF(R25="1","PC (held)",IF(Q25="1","(rs1 + imm) with bit 0 cleared",IF(P25="1","PC + imm",IF(O25="1","PC + imm if taken, else PC + 4","PC + 4"))))</f>
        <v>PC + 4</v>
      </c>
      <c r="AC25" s="22" t="str">
        <f>IF(J25="0","nothing",IF(N25="1","PC + 4",IF(M25="1","load data (LOAD_U)","ALU result")))</f>
        <v>load data (LOAD_U)</v>
      </c>
      <c r="AD25" s="21" t="s">
        <v>132</v>
      </c>
      <c r="AE25" s="21" t="s">
        <v>133</v>
      </c>
    </row>
    <row r="26" spans="1:31" x14ac:dyDescent="0.2">
      <c r="A26" s="52" t="s">
        <v>134</v>
      </c>
      <c r="B26" s="39" t="s">
        <v>135</v>
      </c>
      <c r="C26" s="39" t="s">
        <v>136</v>
      </c>
      <c r="D26" s="39" t="s">
        <v>90</v>
      </c>
      <c r="E26" s="39" t="s">
        <v>108</v>
      </c>
      <c r="F26" s="39" t="s">
        <v>109</v>
      </c>
      <c r="G26" s="39" t="s">
        <v>94</v>
      </c>
      <c r="H26" s="39" t="s">
        <v>94</v>
      </c>
      <c r="I26" s="39" t="s">
        <v>95</v>
      </c>
      <c r="J26" s="39" t="s">
        <v>92</v>
      </c>
      <c r="K26" s="39" t="s">
        <v>92</v>
      </c>
      <c r="L26" s="39" t="s">
        <v>95</v>
      </c>
      <c r="M26" s="39" t="s">
        <v>92</v>
      </c>
      <c r="N26" s="39" t="s">
        <v>92</v>
      </c>
      <c r="O26" s="39" t="s">
        <v>92</v>
      </c>
      <c r="P26" s="39" t="s">
        <v>92</v>
      </c>
      <c r="Q26" s="39" t="s">
        <v>92</v>
      </c>
      <c r="R26" s="39" t="s">
        <v>92</v>
      </c>
      <c r="S26" s="39" t="s">
        <v>135</v>
      </c>
      <c r="T26" s="40">
        <f>IF(AND(MID($G26,1,1)="1",OR(MID($D26,1,1)="1",AND(NOT(MID($D26,2,1)="1"),MID($D26,3,1)="1"))),1,0)</f>
        <v>0</v>
      </c>
      <c r="U26" s="40">
        <f>IF(AND(MID($G26,1,1)="1",OR(AND(NOT(MID($D26,1,1)="1"),MID($D26,2,1)="1"),AND(NOT(MID($D26,2,1)="1"),MID($D26,3,1)="1"))),1,0)</f>
        <v>0</v>
      </c>
      <c r="V26" s="40">
        <f>IF(OR(AND(NOT(MID($D26,1,1)="1"),MID($D26,2,1)="1",MID($D26,3,1)="1"),AND(MID($D26,1,1)="1",NOT(MID($D26,2,1)="1"),NOT(MID($D26,3,1)="1")),AND(MID($D26,1,1)="1",NOT(MID($D26,2,1)="1"),MID($D26,3,1)="1",$F26="1")),1,0)</f>
        <v>0</v>
      </c>
      <c r="W26" s="40">
        <f>IF(AND(MID($G26,1,1)="1",OR(AND(NOT(MID($D26,1,1)="1"),MID($D26,2,1)="1"),AND(MID($D26,2,1)="1",NOT(MID($D26,3,1)="1")),AND(NOT(MID($D26,1,1)="1"),NOT(MID($D26,2,1)="1"),NOT(MID($D26,3,1)="1"),$F26="1",NOT(MID($G26,2,1)="1")),AND(MID($D26,1,1)="1",NOT(MID($D26,2,1)="1"),MID($D26,3,1)="1"))),1,0)</f>
        <v>0</v>
      </c>
      <c r="X26" s="40" t="str">
        <f>T26&amp;U26&amp;V26&amp;W26</f>
        <v>0000</v>
      </c>
      <c r="Y26" s="24" t="str">
        <f>IFERROR(INDEX(ALUCtrl_Key!$B$5:$B$20,MATCH(X26,ALUCtrl_Key!$A$5:$A$20,0)),"?")</f>
        <v>add</v>
      </c>
      <c r="Z26" s="24" t="str">
        <f>IF(H26="00","rs1 (s_read1)",IF(H26="01","PC (s_pc_out)","0"))</f>
        <v>rs1 (s_read1)</v>
      </c>
      <c r="AA26" s="24" t="str">
        <f>IF(I26="1","immediate (s_immgen)","rs2 (s_read2)")</f>
        <v>immediate (s_immgen)</v>
      </c>
      <c r="AB26" s="24" t="str">
        <f>IF(R26="1","PC (held)",IF(Q26="1","(rs1 + imm) with bit 0 cleared",IF(P26="1","PC + imm",IF(O26="1","PC + imm if taken, else PC + 4","PC + 4"))))</f>
        <v>PC + 4</v>
      </c>
      <c r="AC26" s="24" t="str">
        <f>IF(J26="0","nothing",IF(N26="1","PC + 4",IF(M26="1","load data (LOAD_U)","ALU result")))</f>
        <v>nothing</v>
      </c>
      <c r="AD26" s="23" t="s">
        <v>137</v>
      </c>
      <c r="AE26" s="23"/>
    </row>
    <row r="27" spans="1:31" x14ac:dyDescent="0.2">
      <c r="A27" s="52" t="s">
        <v>138</v>
      </c>
      <c r="B27" s="39" t="s">
        <v>135</v>
      </c>
      <c r="C27" s="39" t="s">
        <v>136</v>
      </c>
      <c r="D27" s="39" t="s">
        <v>103</v>
      </c>
      <c r="E27" s="39" t="s">
        <v>108</v>
      </c>
      <c r="F27" s="39" t="s">
        <v>109</v>
      </c>
      <c r="G27" s="39" t="s">
        <v>94</v>
      </c>
      <c r="H27" s="39" t="s">
        <v>94</v>
      </c>
      <c r="I27" s="39" t="s">
        <v>95</v>
      </c>
      <c r="J27" s="39" t="s">
        <v>92</v>
      </c>
      <c r="K27" s="39" t="s">
        <v>92</v>
      </c>
      <c r="L27" s="39" t="s">
        <v>95</v>
      </c>
      <c r="M27" s="39" t="s">
        <v>92</v>
      </c>
      <c r="N27" s="39" t="s">
        <v>92</v>
      </c>
      <c r="O27" s="39" t="s">
        <v>92</v>
      </c>
      <c r="P27" s="39" t="s">
        <v>92</v>
      </c>
      <c r="Q27" s="39" t="s">
        <v>92</v>
      </c>
      <c r="R27" s="39" t="s">
        <v>92</v>
      </c>
      <c r="S27" s="39" t="s">
        <v>135</v>
      </c>
      <c r="T27" s="40">
        <f>IF(AND(MID($G27,1,1)="1",OR(MID($D27,1,1)="1",AND(NOT(MID($D27,2,1)="1"),MID($D27,3,1)="1"))),1,0)</f>
        <v>0</v>
      </c>
      <c r="U27" s="40">
        <f>IF(AND(MID($G27,1,1)="1",OR(AND(NOT(MID($D27,1,1)="1"),MID($D27,2,1)="1"),AND(NOT(MID($D27,2,1)="1"),MID($D27,3,1)="1"))),1,0)</f>
        <v>0</v>
      </c>
      <c r="V27" s="40">
        <f>IF(OR(AND(NOT(MID($D27,1,1)="1"),MID($D27,2,1)="1",MID($D27,3,1)="1"),AND(MID($D27,1,1)="1",NOT(MID($D27,2,1)="1"),NOT(MID($D27,3,1)="1")),AND(MID($D27,1,1)="1",NOT(MID($D27,2,1)="1"),MID($D27,3,1)="1",$F27="1")),1,0)</f>
        <v>0</v>
      </c>
      <c r="W27" s="40">
        <f>IF(AND(MID($G27,1,1)="1",OR(AND(NOT(MID($D27,1,1)="1"),MID($D27,2,1)="1"),AND(MID($D27,2,1)="1",NOT(MID($D27,3,1)="1")),AND(NOT(MID($D27,1,1)="1"),NOT(MID($D27,2,1)="1"),NOT(MID($D27,3,1)="1"),$F27="1",NOT(MID($G27,2,1)="1")),AND(MID($D27,1,1)="1",NOT(MID($D27,2,1)="1"),MID($D27,3,1)="1"))),1,0)</f>
        <v>0</v>
      </c>
      <c r="X27" s="40" t="str">
        <f>T27&amp;U27&amp;V27&amp;W27</f>
        <v>0000</v>
      </c>
      <c r="Y27" s="24" t="str">
        <f>IFERROR(INDEX(ALUCtrl_Key!$B$5:$B$20,MATCH(X27,ALUCtrl_Key!$A$5:$A$20,0)),"?")</f>
        <v>add</v>
      </c>
      <c r="Z27" s="24" t="str">
        <f>IF(H27="00","rs1 (s_read1)",IF(H27="01","PC (s_pc_out)","0"))</f>
        <v>rs1 (s_read1)</v>
      </c>
      <c r="AA27" s="24" t="str">
        <f>IF(I27="1","immediate (s_immgen)","rs2 (s_read2)")</f>
        <v>immediate (s_immgen)</v>
      </c>
      <c r="AB27" s="24" t="str">
        <f>IF(R27="1","PC (held)",IF(Q27="1","(rs1 + imm) with bit 0 cleared",IF(P27="1","PC + imm",IF(O27="1","PC + imm if taken, else PC + 4","PC + 4"))))</f>
        <v>PC + 4</v>
      </c>
      <c r="AC27" s="24" t="str">
        <f>IF(J27="0","nothing",IF(N27="1","PC + 4",IF(M27="1","load data (LOAD_U)","ALU result")))</f>
        <v>nothing</v>
      </c>
      <c r="AD27" s="23" t="s">
        <v>139</v>
      </c>
      <c r="AE27" s="23"/>
    </row>
    <row r="28" spans="1:31" x14ac:dyDescent="0.2">
      <c r="A28" s="52" t="s">
        <v>140</v>
      </c>
      <c r="B28" s="39" t="s">
        <v>135</v>
      </c>
      <c r="C28" s="39" t="s">
        <v>136</v>
      </c>
      <c r="D28" s="39" t="s">
        <v>102</v>
      </c>
      <c r="E28" s="39" t="s">
        <v>108</v>
      </c>
      <c r="F28" s="39" t="s">
        <v>109</v>
      </c>
      <c r="G28" s="39" t="s">
        <v>94</v>
      </c>
      <c r="H28" s="39" t="s">
        <v>94</v>
      </c>
      <c r="I28" s="39" t="s">
        <v>95</v>
      </c>
      <c r="J28" s="39" t="s">
        <v>92</v>
      </c>
      <c r="K28" s="39" t="s">
        <v>92</v>
      </c>
      <c r="L28" s="39" t="s">
        <v>95</v>
      </c>
      <c r="M28" s="39" t="s">
        <v>92</v>
      </c>
      <c r="N28" s="39" t="s">
        <v>92</v>
      </c>
      <c r="O28" s="39" t="s">
        <v>92</v>
      </c>
      <c r="P28" s="39" t="s">
        <v>92</v>
      </c>
      <c r="Q28" s="39" t="s">
        <v>92</v>
      </c>
      <c r="R28" s="39" t="s">
        <v>92</v>
      </c>
      <c r="S28" s="39" t="s">
        <v>135</v>
      </c>
      <c r="T28" s="40">
        <f>IF(AND(MID($G28,1,1)="1",OR(MID($D28,1,1)="1",AND(NOT(MID($D28,2,1)="1"),MID($D28,3,1)="1"))),1,0)</f>
        <v>0</v>
      </c>
      <c r="U28" s="40">
        <f>IF(AND(MID($G28,1,1)="1",OR(AND(NOT(MID($D28,1,1)="1"),MID($D28,2,1)="1"),AND(NOT(MID($D28,2,1)="1"),MID($D28,3,1)="1"))),1,0)</f>
        <v>0</v>
      </c>
      <c r="V28" s="40">
        <f>IF(OR(AND(NOT(MID($D28,1,1)="1"),MID($D28,2,1)="1",MID($D28,3,1)="1"),AND(MID($D28,1,1)="1",NOT(MID($D28,2,1)="1"),NOT(MID($D28,3,1)="1")),AND(MID($D28,1,1)="1",NOT(MID($D28,2,1)="1"),MID($D28,3,1)="1",$F28="1")),1,0)</f>
        <v>0</v>
      </c>
      <c r="W28" s="40">
        <f>IF(AND(MID($G28,1,1)="1",OR(AND(NOT(MID($D28,1,1)="1"),MID($D28,2,1)="1"),AND(MID($D28,2,1)="1",NOT(MID($D28,3,1)="1")),AND(NOT(MID($D28,1,1)="1"),NOT(MID($D28,2,1)="1"),NOT(MID($D28,3,1)="1"),$F28="1",NOT(MID($G28,2,1)="1")),AND(MID($D28,1,1)="1",NOT(MID($D28,2,1)="1"),MID($D28,3,1)="1"))),1,0)</f>
        <v>0</v>
      </c>
      <c r="X28" s="40" t="str">
        <f>T28&amp;U28&amp;V28&amp;W28</f>
        <v>0000</v>
      </c>
      <c r="Y28" s="24" t="str">
        <f>IFERROR(INDEX(ALUCtrl_Key!$B$5:$B$20,MATCH(X28,ALUCtrl_Key!$A$5:$A$20,0)),"?")</f>
        <v>add</v>
      </c>
      <c r="Z28" s="24" t="str">
        <f>IF(H28="00","rs1 (s_read1)",IF(H28="01","PC (s_pc_out)","0"))</f>
        <v>rs1 (s_read1)</v>
      </c>
      <c r="AA28" s="24" t="str">
        <f>IF(I28="1","immediate (s_immgen)","rs2 (s_read2)")</f>
        <v>immediate (s_immgen)</v>
      </c>
      <c r="AB28" s="24" t="str">
        <f>IF(R28="1","PC (held)",IF(Q28="1","(rs1 + imm) with bit 0 cleared",IF(P28="1","PC + imm",IF(O28="1","PC + imm if taken, else PC + 4","PC + 4"))))</f>
        <v>PC + 4</v>
      </c>
      <c r="AC28" s="24" t="str">
        <f>IF(J28="0","nothing",IF(N28="1","PC + 4",IF(M28="1","load data (LOAD_U)","ALU result")))</f>
        <v>nothing</v>
      </c>
      <c r="AD28" s="23" t="s">
        <v>141</v>
      </c>
      <c r="AE28" s="23"/>
    </row>
    <row r="29" spans="1:31" x14ac:dyDescent="0.2">
      <c r="A29" s="53" t="s">
        <v>142</v>
      </c>
      <c r="B29" s="41" t="s">
        <v>143</v>
      </c>
      <c r="C29" s="41" t="s">
        <v>144</v>
      </c>
      <c r="D29" s="41" t="s">
        <v>90</v>
      </c>
      <c r="E29" s="41" t="s">
        <v>145</v>
      </c>
      <c r="F29" s="41" t="s">
        <v>109</v>
      </c>
      <c r="G29" s="41" t="s">
        <v>146</v>
      </c>
      <c r="H29" s="41" t="s">
        <v>94</v>
      </c>
      <c r="I29" s="41" t="s">
        <v>92</v>
      </c>
      <c r="J29" s="41" t="s">
        <v>92</v>
      </c>
      <c r="K29" s="41" t="s">
        <v>92</v>
      </c>
      <c r="L29" s="41" t="s">
        <v>92</v>
      </c>
      <c r="M29" s="41" t="s">
        <v>92</v>
      </c>
      <c r="N29" s="41" t="s">
        <v>92</v>
      </c>
      <c r="O29" s="41" t="s">
        <v>95</v>
      </c>
      <c r="P29" s="41" t="s">
        <v>92</v>
      </c>
      <c r="Q29" s="41" t="s">
        <v>92</v>
      </c>
      <c r="R29" s="41" t="s">
        <v>92</v>
      </c>
      <c r="S29" s="41" t="s">
        <v>143</v>
      </c>
      <c r="T29" s="42">
        <f>IF(AND(MID($G29,1,1)="1",OR(MID($D29,1,1)="1",AND(NOT(MID($D29,2,1)="1"),MID($D29,3,1)="1"))),1,0)</f>
        <v>0</v>
      </c>
      <c r="U29" s="42">
        <f>IF(AND(MID($G29,1,1)="1",OR(AND(NOT(MID($D29,1,1)="1"),MID($D29,2,1)="1"),AND(NOT(MID($D29,2,1)="1"),MID($D29,3,1)="1"))),1,0)</f>
        <v>0</v>
      </c>
      <c r="V29" s="42">
        <f>IF(OR(AND(NOT(MID($D29,1,1)="1"),MID($D29,2,1)="1",MID($D29,3,1)="1"),AND(MID($D29,1,1)="1",NOT(MID($D29,2,1)="1"),NOT(MID($D29,3,1)="1")),AND(MID($D29,1,1)="1",NOT(MID($D29,2,1)="1"),MID($D29,3,1)="1",$F29="1")),1,0)</f>
        <v>0</v>
      </c>
      <c r="W29" s="42">
        <f>IF(AND(MID($G29,1,1)="1",OR(AND(NOT(MID($D29,1,1)="1"),MID($D29,2,1)="1"),AND(MID($D29,2,1)="1",NOT(MID($D29,3,1)="1")),AND(NOT(MID($D29,1,1)="1"),NOT(MID($D29,2,1)="1"),NOT(MID($D29,3,1)="1"),$F29="1",NOT(MID($G29,2,1)="1")),AND(MID($D29,1,1)="1",NOT(MID($D29,2,1)="1"),MID($D29,3,1)="1"))),1,0)</f>
        <v>0</v>
      </c>
      <c r="X29" s="42" t="str">
        <f>T29&amp;U29&amp;V29&amp;W29</f>
        <v>0000</v>
      </c>
      <c r="Y29" s="26" t="str">
        <f>IFERROR(INDEX(ALUCtrl_Key!$B$5:$B$20,MATCH(X29,ALUCtrl_Key!$A$5:$A$20,0)),"?")</f>
        <v>add</v>
      </c>
      <c r="Z29" s="26" t="str">
        <f>IF(H29="00","rs1 (s_read1)",IF(H29="01","PC (s_pc_out)","0"))</f>
        <v>rs1 (s_read1)</v>
      </c>
      <c r="AA29" s="26" t="str">
        <f>IF(I29="1","immediate (s_immgen)","rs2 (s_read2)")</f>
        <v>rs2 (s_read2)</v>
      </c>
      <c r="AB29" s="26" t="str">
        <f>IF(R29="1","PC (held)",IF(Q29="1","(rs1 + imm) with bit 0 cleared",IF(P29="1","PC + imm",IF(O29="1","PC + imm if taken, else PC + 4","PC + 4"))))</f>
        <v>PC + imm if taken, else PC + 4</v>
      </c>
      <c r="AC29" s="26" t="str">
        <f>IF(J29="0","nothing",IF(N29="1","PC + 4",IF(M29="1","load data (LOAD_U)","ALU result")))</f>
        <v>nothing</v>
      </c>
      <c r="AD29" s="25" t="s">
        <v>147</v>
      </c>
      <c r="AE29" s="25" t="s">
        <v>148</v>
      </c>
    </row>
    <row r="30" spans="1:31" x14ac:dyDescent="0.2">
      <c r="A30" s="53" t="s">
        <v>149</v>
      </c>
      <c r="B30" s="41" t="s">
        <v>143</v>
      </c>
      <c r="C30" s="41" t="s">
        <v>144</v>
      </c>
      <c r="D30" s="41" t="s">
        <v>103</v>
      </c>
      <c r="E30" s="41" t="s">
        <v>145</v>
      </c>
      <c r="F30" s="41" t="s">
        <v>109</v>
      </c>
      <c r="G30" s="41" t="s">
        <v>146</v>
      </c>
      <c r="H30" s="41" t="s">
        <v>94</v>
      </c>
      <c r="I30" s="41" t="s">
        <v>92</v>
      </c>
      <c r="J30" s="41" t="s">
        <v>92</v>
      </c>
      <c r="K30" s="41" t="s">
        <v>92</v>
      </c>
      <c r="L30" s="41" t="s">
        <v>92</v>
      </c>
      <c r="M30" s="41" t="s">
        <v>92</v>
      </c>
      <c r="N30" s="41" t="s">
        <v>92</v>
      </c>
      <c r="O30" s="41" t="s">
        <v>95</v>
      </c>
      <c r="P30" s="41" t="s">
        <v>92</v>
      </c>
      <c r="Q30" s="41" t="s">
        <v>92</v>
      </c>
      <c r="R30" s="41" t="s">
        <v>92</v>
      </c>
      <c r="S30" s="41" t="s">
        <v>143</v>
      </c>
      <c r="T30" s="42">
        <f>IF(AND(MID($G30,1,1)="1",OR(MID($D30,1,1)="1",AND(NOT(MID($D30,2,1)="1"),MID($D30,3,1)="1"))),1,0)</f>
        <v>0</v>
      </c>
      <c r="U30" s="42">
        <f>IF(AND(MID($G30,1,1)="1",OR(AND(NOT(MID($D30,1,1)="1"),MID($D30,2,1)="1"),AND(NOT(MID($D30,2,1)="1"),MID($D30,3,1)="1"))),1,0)</f>
        <v>0</v>
      </c>
      <c r="V30" s="42">
        <f>IF(OR(AND(NOT(MID($D30,1,1)="1"),MID($D30,2,1)="1",MID($D30,3,1)="1"),AND(MID($D30,1,1)="1",NOT(MID($D30,2,1)="1"),NOT(MID($D30,3,1)="1")),AND(MID($D30,1,1)="1",NOT(MID($D30,2,1)="1"),MID($D30,3,1)="1",$F30="1")),1,0)</f>
        <v>0</v>
      </c>
      <c r="W30" s="42">
        <f>IF(AND(MID($G30,1,1)="1",OR(AND(NOT(MID($D30,1,1)="1"),MID($D30,2,1)="1"),AND(MID($D30,2,1)="1",NOT(MID($D30,3,1)="1")),AND(NOT(MID($D30,1,1)="1"),NOT(MID($D30,2,1)="1"),NOT(MID($D30,3,1)="1"),$F30="1",NOT(MID($G30,2,1)="1")),AND(MID($D30,1,1)="1",NOT(MID($D30,2,1)="1"),MID($D30,3,1)="1"))),1,0)</f>
        <v>0</v>
      </c>
      <c r="X30" s="42" t="str">
        <f>T30&amp;U30&amp;V30&amp;W30</f>
        <v>0000</v>
      </c>
      <c r="Y30" s="26" t="str">
        <f>IFERROR(INDEX(ALUCtrl_Key!$B$5:$B$20,MATCH(X30,ALUCtrl_Key!$A$5:$A$20,0)),"?")</f>
        <v>add</v>
      </c>
      <c r="Z30" s="26" t="str">
        <f>IF(H30="00","rs1 (s_read1)",IF(H30="01","PC (s_pc_out)","0"))</f>
        <v>rs1 (s_read1)</v>
      </c>
      <c r="AA30" s="26" t="str">
        <f>IF(I30="1","immediate (s_immgen)","rs2 (s_read2)")</f>
        <v>rs2 (s_read2)</v>
      </c>
      <c r="AB30" s="26" t="str">
        <f>IF(R30="1","PC (held)",IF(Q30="1","(rs1 + imm) with bit 0 cleared",IF(P30="1","PC + imm",IF(O30="1","PC + imm if taken, else PC + 4","PC + 4"))))</f>
        <v>PC + imm if taken, else PC + 4</v>
      </c>
      <c r="AC30" s="26" t="str">
        <f>IF(J30="0","nothing",IF(N30="1","PC + 4",IF(M30="1","load data (LOAD_U)","ALU result")))</f>
        <v>nothing</v>
      </c>
      <c r="AD30" s="25" t="s">
        <v>150</v>
      </c>
      <c r="AE30" s="25" t="s">
        <v>148</v>
      </c>
    </row>
    <row r="31" spans="1:31" x14ac:dyDescent="0.2">
      <c r="A31" s="53" t="s">
        <v>151</v>
      </c>
      <c r="B31" s="41" t="s">
        <v>143</v>
      </c>
      <c r="C31" s="41" t="s">
        <v>144</v>
      </c>
      <c r="D31" s="41" t="s">
        <v>100</v>
      </c>
      <c r="E31" s="41" t="s">
        <v>145</v>
      </c>
      <c r="F31" s="41" t="s">
        <v>109</v>
      </c>
      <c r="G31" s="41" t="s">
        <v>146</v>
      </c>
      <c r="H31" s="41" t="s">
        <v>94</v>
      </c>
      <c r="I31" s="41" t="s">
        <v>92</v>
      </c>
      <c r="J31" s="41" t="s">
        <v>92</v>
      </c>
      <c r="K31" s="41" t="s">
        <v>92</v>
      </c>
      <c r="L31" s="41" t="s">
        <v>92</v>
      </c>
      <c r="M31" s="41" t="s">
        <v>92</v>
      </c>
      <c r="N31" s="41" t="s">
        <v>92</v>
      </c>
      <c r="O31" s="41" t="s">
        <v>95</v>
      </c>
      <c r="P31" s="41" t="s">
        <v>92</v>
      </c>
      <c r="Q31" s="41" t="s">
        <v>92</v>
      </c>
      <c r="R31" s="41" t="s">
        <v>92</v>
      </c>
      <c r="S31" s="41" t="s">
        <v>143</v>
      </c>
      <c r="T31" s="42">
        <f>IF(AND(MID($G31,1,1)="1",OR(MID($D31,1,1)="1",AND(NOT(MID($D31,2,1)="1"),MID($D31,3,1)="1"))),1,0)</f>
        <v>0</v>
      </c>
      <c r="U31" s="42">
        <f>IF(AND(MID($G31,1,1)="1",OR(AND(NOT(MID($D31,1,1)="1"),MID($D31,2,1)="1"),AND(NOT(MID($D31,2,1)="1"),MID($D31,3,1)="1"))),1,0)</f>
        <v>0</v>
      </c>
      <c r="V31" s="42">
        <f>IF(OR(AND(NOT(MID($D31,1,1)="1"),MID($D31,2,1)="1",MID($D31,3,1)="1"),AND(MID($D31,1,1)="1",NOT(MID($D31,2,1)="1"),NOT(MID($D31,3,1)="1")),AND(MID($D31,1,1)="1",NOT(MID($D31,2,1)="1"),MID($D31,3,1)="1",$F31="1")),1,0)</f>
        <v>1</v>
      </c>
      <c r="W31" s="42">
        <f>IF(AND(MID($G31,1,1)="1",OR(AND(NOT(MID($D31,1,1)="1"),MID($D31,2,1)="1"),AND(MID($D31,2,1)="1",NOT(MID($D31,3,1)="1")),AND(NOT(MID($D31,1,1)="1"),NOT(MID($D31,2,1)="1"),NOT(MID($D31,3,1)="1"),$F31="1",NOT(MID($G31,2,1)="1")),AND(MID($D31,1,1)="1",NOT(MID($D31,2,1)="1"),MID($D31,3,1)="1"))),1,0)</f>
        <v>0</v>
      </c>
      <c r="X31" s="42" t="str">
        <f>T31&amp;U31&amp;V31&amp;W31</f>
        <v>0010</v>
      </c>
      <c r="Y31" s="26" t="str">
        <f>IFERROR(INDEX(ALUCtrl_Key!$B$5:$B$20,MATCH(X31,ALUCtrl_Key!$A$5:$A$20,0)),"?")</f>
        <v>add (unsigned flag set, sum unchanged)</v>
      </c>
      <c r="Z31" s="26" t="str">
        <f>IF(H31="00","rs1 (s_read1)",IF(H31="01","PC (s_pc_out)","0"))</f>
        <v>rs1 (s_read1)</v>
      </c>
      <c r="AA31" s="26" t="str">
        <f>IF(I31="1","immediate (s_immgen)","rs2 (s_read2)")</f>
        <v>rs2 (s_read2)</v>
      </c>
      <c r="AB31" s="26" t="str">
        <f>IF(R31="1","PC (held)",IF(Q31="1","(rs1 + imm) with bit 0 cleared",IF(P31="1","PC + imm",IF(O31="1","PC + imm if taken, else PC + 4","PC + 4"))))</f>
        <v>PC + imm if taken, else PC + 4</v>
      </c>
      <c r="AC31" s="26" t="str">
        <f>IF(J31="0","nothing",IF(N31="1","PC + 4",IF(M31="1","load data (LOAD_U)","ALU result")))</f>
        <v>nothing</v>
      </c>
      <c r="AD31" s="25" t="s">
        <v>152</v>
      </c>
      <c r="AE31" s="25" t="s">
        <v>148</v>
      </c>
    </row>
    <row r="32" spans="1:31" x14ac:dyDescent="0.2">
      <c r="A32" s="53" t="s">
        <v>153</v>
      </c>
      <c r="B32" s="41" t="s">
        <v>143</v>
      </c>
      <c r="C32" s="41" t="s">
        <v>144</v>
      </c>
      <c r="D32" s="41" t="s">
        <v>104</v>
      </c>
      <c r="E32" s="41" t="s">
        <v>145</v>
      </c>
      <c r="F32" s="41" t="s">
        <v>109</v>
      </c>
      <c r="G32" s="41" t="s">
        <v>146</v>
      </c>
      <c r="H32" s="41" t="s">
        <v>94</v>
      </c>
      <c r="I32" s="41" t="s">
        <v>92</v>
      </c>
      <c r="J32" s="41" t="s">
        <v>92</v>
      </c>
      <c r="K32" s="41" t="s">
        <v>92</v>
      </c>
      <c r="L32" s="41" t="s">
        <v>92</v>
      </c>
      <c r="M32" s="41" t="s">
        <v>92</v>
      </c>
      <c r="N32" s="41" t="s">
        <v>92</v>
      </c>
      <c r="O32" s="41" t="s">
        <v>95</v>
      </c>
      <c r="P32" s="41" t="s">
        <v>92</v>
      </c>
      <c r="Q32" s="41" t="s">
        <v>92</v>
      </c>
      <c r="R32" s="41" t="s">
        <v>92</v>
      </c>
      <c r="S32" s="41" t="s">
        <v>143</v>
      </c>
      <c r="T32" s="42">
        <f>IF(AND(MID($G32,1,1)="1",OR(MID($D32,1,1)="1",AND(NOT(MID($D32,2,1)="1"),MID($D32,3,1)="1"))),1,0)</f>
        <v>0</v>
      </c>
      <c r="U32" s="42">
        <f>IF(AND(MID($G32,1,1)="1",OR(AND(NOT(MID($D32,1,1)="1"),MID($D32,2,1)="1"),AND(NOT(MID($D32,2,1)="1"),MID($D32,3,1)="1"))),1,0)</f>
        <v>0</v>
      </c>
      <c r="V32" s="42">
        <f>IF(OR(AND(NOT(MID($D32,1,1)="1"),MID($D32,2,1)="1",MID($D32,3,1)="1"),AND(MID($D32,1,1)="1",NOT(MID($D32,2,1)="1"),NOT(MID($D32,3,1)="1")),AND(MID($D32,1,1)="1",NOT(MID($D32,2,1)="1"),MID($D32,3,1)="1",$F32="1")),1,0)</f>
        <v>0</v>
      </c>
      <c r="W32" s="42">
        <f>IF(AND(MID($G32,1,1)="1",OR(AND(NOT(MID($D32,1,1)="1"),MID($D32,2,1)="1"),AND(MID($D32,2,1)="1",NOT(MID($D32,3,1)="1")),AND(NOT(MID($D32,1,1)="1"),NOT(MID($D32,2,1)="1"),NOT(MID($D32,3,1)="1"),$F32="1",NOT(MID($G32,2,1)="1")),AND(MID($D32,1,1)="1",NOT(MID($D32,2,1)="1"),MID($D32,3,1)="1"))),1,0)</f>
        <v>0</v>
      </c>
      <c r="X32" s="42" t="str">
        <f>T32&amp;U32&amp;V32&amp;W32</f>
        <v>0000</v>
      </c>
      <c r="Y32" s="26" t="str">
        <f>IFERROR(INDEX(ALUCtrl_Key!$B$5:$B$20,MATCH(X32,ALUCtrl_Key!$A$5:$A$20,0)),"?")</f>
        <v>add</v>
      </c>
      <c r="Z32" s="26" t="str">
        <f>IF(H32="00","rs1 (s_read1)",IF(H32="01","PC (s_pc_out)","0"))</f>
        <v>rs1 (s_read1)</v>
      </c>
      <c r="AA32" s="26" t="str">
        <f>IF(I32="1","immediate (s_immgen)","rs2 (s_read2)")</f>
        <v>rs2 (s_read2)</v>
      </c>
      <c r="AB32" s="26" t="str">
        <f>IF(R32="1","PC (held)",IF(Q32="1","(rs1 + imm) with bit 0 cleared",IF(P32="1","PC + imm",IF(O32="1","PC + imm if taken, else PC + 4","PC + 4"))))</f>
        <v>PC + imm if taken, else PC + 4</v>
      </c>
      <c r="AC32" s="26" t="str">
        <f>IF(J32="0","nothing",IF(N32="1","PC + 4",IF(M32="1","load data (LOAD_U)","ALU result")))</f>
        <v>nothing</v>
      </c>
      <c r="AD32" s="25" t="s">
        <v>154</v>
      </c>
      <c r="AE32" s="25" t="s">
        <v>148</v>
      </c>
    </row>
    <row r="33" spans="1:31" x14ac:dyDescent="0.2">
      <c r="A33" s="53" t="s">
        <v>155</v>
      </c>
      <c r="B33" s="41" t="s">
        <v>143</v>
      </c>
      <c r="C33" s="41" t="s">
        <v>144</v>
      </c>
      <c r="D33" s="41" t="s">
        <v>99</v>
      </c>
      <c r="E33" s="41" t="s">
        <v>145</v>
      </c>
      <c r="F33" s="41" t="s">
        <v>109</v>
      </c>
      <c r="G33" s="41" t="s">
        <v>146</v>
      </c>
      <c r="H33" s="41" t="s">
        <v>94</v>
      </c>
      <c r="I33" s="41" t="s">
        <v>92</v>
      </c>
      <c r="J33" s="41" t="s">
        <v>92</v>
      </c>
      <c r="K33" s="41" t="s">
        <v>92</v>
      </c>
      <c r="L33" s="41" t="s">
        <v>92</v>
      </c>
      <c r="M33" s="41" t="s">
        <v>92</v>
      </c>
      <c r="N33" s="41" t="s">
        <v>92</v>
      </c>
      <c r="O33" s="41" t="s">
        <v>95</v>
      </c>
      <c r="P33" s="41" t="s">
        <v>92</v>
      </c>
      <c r="Q33" s="41" t="s">
        <v>92</v>
      </c>
      <c r="R33" s="41" t="s">
        <v>92</v>
      </c>
      <c r="S33" s="41" t="s">
        <v>143</v>
      </c>
      <c r="T33" s="42">
        <f>IF(AND(MID($G33,1,1)="1",OR(MID($D33,1,1)="1",AND(NOT(MID($D33,2,1)="1"),MID($D33,3,1)="1"))),1,0)</f>
        <v>0</v>
      </c>
      <c r="U33" s="42">
        <f>IF(AND(MID($G33,1,1)="1",OR(AND(NOT(MID($D33,1,1)="1"),MID($D33,2,1)="1"),AND(NOT(MID($D33,2,1)="1"),MID($D33,3,1)="1"))),1,0)</f>
        <v>0</v>
      </c>
      <c r="V33" s="42">
        <f>IF(OR(AND(NOT(MID($D33,1,1)="1"),MID($D33,2,1)="1",MID($D33,3,1)="1"),AND(MID($D33,1,1)="1",NOT(MID($D33,2,1)="1"),NOT(MID($D33,3,1)="1")),AND(MID($D33,1,1)="1",NOT(MID($D33,2,1)="1"),MID($D33,3,1)="1",$F33="1")),1,0)</f>
        <v>0</v>
      </c>
      <c r="W33" s="42">
        <f>IF(AND(MID($G33,1,1)="1",OR(AND(NOT(MID($D33,1,1)="1"),MID($D33,2,1)="1"),AND(MID($D33,2,1)="1",NOT(MID($D33,3,1)="1")),AND(NOT(MID($D33,1,1)="1"),NOT(MID($D33,2,1)="1"),NOT(MID($D33,3,1)="1"),$F33="1",NOT(MID($G33,2,1)="1")),AND(MID($D33,1,1)="1",NOT(MID($D33,2,1)="1"),MID($D33,3,1)="1"))),1,0)</f>
        <v>0</v>
      </c>
      <c r="X33" s="42" t="str">
        <f>T33&amp;U33&amp;V33&amp;W33</f>
        <v>0000</v>
      </c>
      <c r="Y33" s="26" t="str">
        <f>IFERROR(INDEX(ALUCtrl_Key!$B$5:$B$20,MATCH(X33,ALUCtrl_Key!$A$5:$A$20,0)),"?")</f>
        <v>add</v>
      </c>
      <c r="Z33" s="26" t="str">
        <f>IF(H33="00","rs1 (s_read1)",IF(H33="01","PC (s_pc_out)","0"))</f>
        <v>rs1 (s_read1)</v>
      </c>
      <c r="AA33" s="26" t="str">
        <f>IF(I33="1","immediate (s_immgen)","rs2 (s_read2)")</f>
        <v>rs2 (s_read2)</v>
      </c>
      <c r="AB33" s="26" t="str">
        <f>IF(R33="1","PC (held)",IF(Q33="1","(rs1 + imm) with bit 0 cleared",IF(P33="1","PC + imm",IF(O33="1","PC + imm if taken, else PC + 4","PC + 4"))))</f>
        <v>PC + imm if taken, else PC + 4</v>
      </c>
      <c r="AC33" s="26" t="str">
        <f>IF(J33="0","nothing",IF(N33="1","PC + 4",IF(M33="1","load data (LOAD_U)","ALU result")))</f>
        <v>nothing</v>
      </c>
      <c r="AD33" s="25" t="s">
        <v>156</v>
      </c>
      <c r="AE33" s="25" t="s">
        <v>148</v>
      </c>
    </row>
    <row r="34" spans="1:31" x14ac:dyDescent="0.2">
      <c r="A34" s="53" t="s">
        <v>157</v>
      </c>
      <c r="B34" s="41" t="s">
        <v>143</v>
      </c>
      <c r="C34" s="41" t="s">
        <v>144</v>
      </c>
      <c r="D34" s="41" t="s">
        <v>98</v>
      </c>
      <c r="E34" s="41" t="s">
        <v>145</v>
      </c>
      <c r="F34" s="41" t="s">
        <v>109</v>
      </c>
      <c r="G34" s="41" t="s">
        <v>146</v>
      </c>
      <c r="H34" s="41" t="s">
        <v>94</v>
      </c>
      <c r="I34" s="41" t="s">
        <v>92</v>
      </c>
      <c r="J34" s="41" t="s">
        <v>92</v>
      </c>
      <c r="K34" s="41" t="s">
        <v>92</v>
      </c>
      <c r="L34" s="41" t="s">
        <v>92</v>
      </c>
      <c r="M34" s="41" t="s">
        <v>92</v>
      </c>
      <c r="N34" s="41" t="s">
        <v>92</v>
      </c>
      <c r="O34" s="41" t="s">
        <v>95</v>
      </c>
      <c r="P34" s="41" t="s">
        <v>92</v>
      </c>
      <c r="Q34" s="41" t="s">
        <v>92</v>
      </c>
      <c r="R34" s="41" t="s">
        <v>92</v>
      </c>
      <c r="S34" s="41" t="s">
        <v>143</v>
      </c>
      <c r="T34" s="42">
        <f>IF(AND(MID($G34,1,1)="1",OR(MID($D34,1,1)="1",AND(NOT(MID($D34,2,1)="1"),MID($D34,3,1)="1"))),1,0)</f>
        <v>0</v>
      </c>
      <c r="U34" s="42">
        <f>IF(AND(MID($G34,1,1)="1",OR(AND(NOT(MID($D34,1,1)="1"),MID($D34,2,1)="1"),AND(NOT(MID($D34,2,1)="1"),MID($D34,3,1)="1"))),1,0)</f>
        <v>0</v>
      </c>
      <c r="V34" s="42">
        <f>IF(OR(AND(NOT(MID($D34,1,1)="1"),MID($D34,2,1)="1",MID($D34,3,1)="1"),AND(MID($D34,1,1)="1",NOT(MID($D34,2,1)="1"),NOT(MID($D34,3,1)="1")),AND(MID($D34,1,1)="1",NOT(MID($D34,2,1)="1"),MID($D34,3,1)="1",$F34="1")),1,0)</f>
        <v>0</v>
      </c>
      <c r="W34" s="42">
        <f>IF(AND(MID($G34,1,1)="1",OR(AND(NOT(MID($D34,1,1)="1"),MID($D34,2,1)="1"),AND(MID($D34,2,1)="1",NOT(MID($D34,3,1)="1")),AND(NOT(MID($D34,1,1)="1"),NOT(MID($D34,2,1)="1"),NOT(MID($D34,3,1)="1"),$F34="1",NOT(MID($G34,2,1)="1")),AND(MID($D34,1,1)="1",NOT(MID($D34,2,1)="1"),MID($D34,3,1)="1"))),1,0)</f>
        <v>0</v>
      </c>
      <c r="X34" s="42" t="str">
        <f>T34&amp;U34&amp;V34&amp;W34</f>
        <v>0000</v>
      </c>
      <c r="Y34" s="26" t="str">
        <f>IFERROR(INDEX(ALUCtrl_Key!$B$5:$B$20,MATCH(X34,ALUCtrl_Key!$A$5:$A$20,0)),"?")</f>
        <v>add</v>
      </c>
      <c r="Z34" s="26" t="str">
        <f>IF(H34="00","rs1 (s_read1)",IF(H34="01","PC (s_pc_out)","0"))</f>
        <v>rs1 (s_read1)</v>
      </c>
      <c r="AA34" s="26" t="str">
        <f>IF(I34="1","immediate (s_immgen)","rs2 (s_read2)")</f>
        <v>rs2 (s_read2)</v>
      </c>
      <c r="AB34" s="26" t="str">
        <f>IF(R34="1","PC (held)",IF(Q34="1","(rs1 + imm) with bit 0 cleared",IF(P34="1","PC + imm",IF(O34="1","PC + imm if taken, else PC + 4","PC + 4"))))</f>
        <v>PC + imm if taken, else PC + 4</v>
      </c>
      <c r="AC34" s="26" t="str">
        <f>IF(J34="0","nothing",IF(N34="1","PC + 4",IF(M34="1","load data (LOAD_U)","ALU result")))</f>
        <v>nothing</v>
      </c>
      <c r="AD34" s="25" t="s">
        <v>158</v>
      </c>
      <c r="AE34" s="25" t="s">
        <v>148</v>
      </c>
    </row>
    <row r="35" spans="1:31" x14ac:dyDescent="0.2">
      <c r="A35" s="54" t="s">
        <v>159</v>
      </c>
      <c r="B35" s="43" t="s">
        <v>160</v>
      </c>
      <c r="C35" s="43" t="s">
        <v>161</v>
      </c>
      <c r="D35" s="43" t="s">
        <v>162</v>
      </c>
      <c r="E35" s="43" t="s">
        <v>145</v>
      </c>
      <c r="F35" s="43" t="s">
        <v>109</v>
      </c>
      <c r="G35" s="43" t="s">
        <v>94</v>
      </c>
      <c r="H35" s="43" t="s">
        <v>94</v>
      </c>
      <c r="I35" s="43" t="s">
        <v>92</v>
      </c>
      <c r="J35" s="43" t="s">
        <v>95</v>
      </c>
      <c r="K35" s="43" t="s">
        <v>92</v>
      </c>
      <c r="L35" s="43" t="s">
        <v>92</v>
      </c>
      <c r="M35" s="43" t="s">
        <v>92</v>
      </c>
      <c r="N35" s="43" t="s">
        <v>95</v>
      </c>
      <c r="O35" s="43" t="s">
        <v>92</v>
      </c>
      <c r="P35" s="43" t="s">
        <v>95</v>
      </c>
      <c r="Q35" s="43" t="s">
        <v>92</v>
      </c>
      <c r="R35" s="43" t="s">
        <v>92</v>
      </c>
      <c r="S35" s="43" t="s">
        <v>160</v>
      </c>
      <c r="T35" s="44">
        <f>IF(AND(MID($G35,1,1)="1",OR(MID($D35,1,1)="1",AND(NOT(MID($D35,2,1)="1"),MID($D35,3,1)="1"))),1,0)</f>
        <v>0</v>
      </c>
      <c r="U35" s="44">
        <f>IF(AND(MID($G35,1,1)="1",OR(AND(NOT(MID($D35,1,1)="1"),MID($D35,2,1)="1"),AND(NOT(MID($D35,2,1)="1"),MID($D35,3,1)="1"))),1,0)</f>
        <v>0</v>
      </c>
      <c r="V35" s="44">
        <f>IF(OR(AND(NOT(MID($D35,1,1)="1"),MID($D35,2,1)="1",MID($D35,3,1)="1"),AND(MID($D35,1,1)="1",NOT(MID($D35,2,1)="1"),NOT(MID($D35,3,1)="1")),AND(MID($D35,1,1)="1",NOT(MID($D35,2,1)="1"),MID($D35,3,1)="1",$F35="1")),1,0)</f>
        <v>0</v>
      </c>
      <c r="W35" s="44">
        <f>IF(AND(MID($G35,1,1)="1",OR(AND(NOT(MID($D35,1,1)="1"),MID($D35,2,1)="1"),AND(MID($D35,2,1)="1",NOT(MID($D35,3,1)="1")),AND(NOT(MID($D35,1,1)="1"),NOT(MID($D35,2,1)="1"),NOT(MID($D35,3,1)="1"),$F35="1",NOT(MID($G35,2,1)="1")),AND(MID($D35,1,1)="1",NOT(MID($D35,2,1)="1"),MID($D35,3,1)="1"))),1,0)</f>
        <v>0</v>
      </c>
      <c r="X35" s="44" t="str">
        <f>T35&amp;U35&amp;V35&amp;W35</f>
        <v>0000</v>
      </c>
      <c r="Y35" s="28" t="str">
        <f>IFERROR(INDEX(ALUCtrl_Key!$B$5:$B$20,MATCH(X35,ALUCtrl_Key!$A$5:$A$20,0)),"?")</f>
        <v>add</v>
      </c>
      <c r="Z35" s="28" t="str">
        <f>IF(H35="00","rs1 (s_read1)",IF(H35="01","PC (s_pc_out)","0"))</f>
        <v>rs1 (s_read1)</v>
      </c>
      <c r="AA35" s="28" t="str">
        <f>IF(I35="1","immediate (s_immgen)","rs2 (s_read2)")</f>
        <v>rs2 (s_read2)</v>
      </c>
      <c r="AB35" s="28" t="str">
        <f>IF(R35="1","PC (held)",IF(Q35="1","(rs1 + imm) with bit 0 cleared",IF(P35="1","PC + imm",IF(O35="1","PC + imm if taken, else PC + 4","PC + 4"))))</f>
        <v>PC + imm</v>
      </c>
      <c r="AC35" s="28" t="str">
        <f>IF(J35="0","nothing",IF(N35="1","PC + 4",IF(M35="1","load data (LOAD_U)","ALU result")))</f>
        <v>PC + 4</v>
      </c>
      <c r="AD35" s="27"/>
      <c r="AE35" s="27" t="s">
        <v>163</v>
      </c>
    </row>
    <row r="36" spans="1:31" x14ac:dyDescent="0.2">
      <c r="A36" s="54" t="s">
        <v>164</v>
      </c>
      <c r="B36" s="43" t="s">
        <v>106</v>
      </c>
      <c r="C36" s="43" t="s">
        <v>165</v>
      </c>
      <c r="D36" s="43" t="s">
        <v>90</v>
      </c>
      <c r="E36" s="43" t="s">
        <v>108</v>
      </c>
      <c r="F36" s="43" t="s">
        <v>109</v>
      </c>
      <c r="G36" s="43" t="s">
        <v>94</v>
      </c>
      <c r="H36" s="43" t="s">
        <v>94</v>
      </c>
      <c r="I36" s="43" t="s">
        <v>95</v>
      </c>
      <c r="J36" s="43" t="s">
        <v>95</v>
      </c>
      <c r="K36" s="43" t="s">
        <v>92</v>
      </c>
      <c r="L36" s="43" t="s">
        <v>92</v>
      </c>
      <c r="M36" s="43" t="s">
        <v>92</v>
      </c>
      <c r="N36" s="43" t="s">
        <v>95</v>
      </c>
      <c r="O36" s="43" t="s">
        <v>92</v>
      </c>
      <c r="P36" s="43" t="s">
        <v>92</v>
      </c>
      <c r="Q36" s="43" t="s">
        <v>95</v>
      </c>
      <c r="R36" s="43" t="s">
        <v>92</v>
      </c>
      <c r="S36" s="43" t="s">
        <v>106</v>
      </c>
      <c r="T36" s="44">
        <f>IF(AND(MID($G36,1,1)="1",OR(MID($D36,1,1)="1",AND(NOT(MID($D36,2,1)="1"),MID($D36,3,1)="1"))),1,0)</f>
        <v>0</v>
      </c>
      <c r="U36" s="44">
        <f>IF(AND(MID($G36,1,1)="1",OR(AND(NOT(MID($D36,1,1)="1"),MID($D36,2,1)="1"),AND(NOT(MID($D36,2,1)="1"),MID($D36,3,1)="1"))),1,0)</f>
        <v>0</v>
      </c>
      <c r="V36" s="44">
        <f>IF(OR(AND(NOT(MID($D36,1,1)="1"),MID($D36,2,1)="1",MID($D36,3,1)="1"),AND(MID($D36,1,1)="1",NOT(MID($D36,2,1)="1"),NOT(MID($D36,3,1)="1")),AND(MID($D36,1,1)="1",NOT(MID($D36,2,1)="1"),MID($D36,3,1)="1",$F36="1")),1,0)</f>
        <v>0</v>
      </c>
      <c r="W36" s="44">
        <f>IF(AND(MID($G36,1,1)="1",OR(AND(NOT(MID($D36,1,1)="1"),MID($D36,2,1)="1"),AND(MID($D36,2,1)="1",NOT(MID($D36,3,1)="1")),AND(NOT(MID($D36,1,1)="1"),NOT(MID($D36,2,1)="1"),NOT(MID($D36,3,1)="1"),$F36="1",NOT(MID($G36,2,1)="1")),AND(MID($D36,1,1)="1",NOT(MID($D36,2,1)="1"),MID($D36,3,1)="1"))),1,0)</f>
        <v>0</v>
      </c>
      <c r="X36" s="44" t="str">
        <f>T36&amp;U36&amp;V36&amp;W36</f>
        <v>0000</v>
      </c>
      <c r="Y36" s="28" t="str">
        <f>IFERROR(INDEX(ALUCtrl_Key!$B$5:$B$20,MATCH(X36,ALUCtrl_Key!$A$5:$A$20,0)),"?")</f>
        <v>add</v>
      </c>
      <c r="Z36" s="28" t="str">
        <f>IF(H36="00","rs1 (s_read1)",IF(H36="01","PC (s_pc_out)","0"))</f>
        <v>rs1 (s_read1)</v>
      </c>
      <c r="AA36" s="28" t="str">
        <f>IF(I36="1","immediate (s_immgen)","rs2 (s_read2)")</f>
        <v>immediate (s_immgen)</v>
      </c>
      <c r="AB36" s="28" t="str">
        <f>IF(R36="1","PC (held)",IF(Q36="1","(rs1 + imm) with bit 0 cleared",IF(P36="1","PC + imm",IF(O36="1","PC + imm if taken, else PC + 4","PC + 4"))))</f>
        <v>(rs1 + imm) with bit 0 cleared</v>
      </c>
      <c r="AC36" s="28" t="str">
        <f>IF(J36="0","nothing",IF(N36="1","PC + 4",IF(M36="1","load data (LOAD_U)","ALU result")))</f>
        <v>PC + 4</v>
      </c>
      <c r="AD36" s="27"/>
      <c r="AE36" s="27" t="s">
        <v>166</v>
      </c>
    </row>
    <row r="37" spans="1:31" x14ac:dyDescent="0.2">
      <c r="A37" s="55" t="s">
        <v>167</v>
      </c>
      <c r="B37" s="45" t="s">
        <v>168</v>
      </c>
      <c r="C37" s="45" t="s">
        <v>169</v>
      </c>
      <c r="D37" s="45" t="s">
        <v>162</v>
      </c>
      <c r="E37" s="45" t="s">
        <v>145</v>
      </c>
      <c r="F37" s="45" t="s">
        <v>109</v>
      </c>
      <c r="G37" s="45" t="s">
        <v>94</v>
      </c>
      <c r="H37" s="45" t="s">
        <v>93</v>
      </c>
      <c r="I37" s="45" t="s">
        <v>95</v>
      </c>
      <c r="J37" s="45" t="s">
        <v>95</v>
      </c>
      <c r="K37" s="45" t="s">
        <v>92</v>
      </c>
      <c r="L37" s="45" t="s">
        <v>92</v>
      </c>
      <c r="M37" s="45" t="s">
        <v>92</v>
      </c>
      <c r="N37" s="45" t="s">
        <v>92</v>
      </c>
      <c r="O37" s="45" t="s">
        <v>92</v>
      </c>
      <c r="P37" s="45" t="s">
        <v>92</v>
      </c>
      <c r="Q37" s="45" t="s">
        <v>92</v>
      </c>
      <c r="R37" s="45" t="s">
        <v>92</v>
      </c>
      <c r="S37" s="45" t="s">
        <v>168</v>
      </c>
      <c r="T37" s="46">
        <f>IF(AND(MID($G37,1,1)="1",OR(MID($D37,1,1)="1",AND(NOT(MID($D37,2,1)="1"),MID($D37,3,1)="1"))),1,0)</f>
        <v>0</v>
      </c>
      <c r="U37" s="46">
        <f>IF(AND(MID($G37,1,1)="1",OR(AND(NOT(MID($D37,1,1)="1"),MID($D37,2,1)="1"),AND(NOT(MID($D37,2,1)="1"),MID($D37,3,1)="1"))),1,0)</f>
        <v>0</v>
      </c>
      <c r="V37" s="46">
        <f>IF(OR(AND(NOT(MID($D37,1,1)="1"),MID($D37,2,1)="1",MID($D37,3,1)="1"),AND(MID($D37,1,1)="1",NOT(MID($D37,2,1)="1"),NOT(MID($D37,3,1)="1")),AND(MID($D37,1,1)="1",NOT(MID($D37,2,1)="1"),MID($D37,3,1)="1",$F37="1")),1,0)</f>
        <v>0</v>
      </c>
      <c r="W37" s="46">
        <f>IF(AND(MID($G37,1,1)="1",OR(AND(NOT(MID($D37,1,1)="1"),MID($D37,2,1)="1"),AND(MID($D37,2,1)="1",NOT(MID($D37,3,1)="1")),AND(NOT(MID($D37,1,1)="1"),NOT(MID($D37,2,1)="1"),NOT(MID($D37,3,1)="1"),$F37="1",NOT(MID($G37,2,1)="1")),AND(MID($D37,1,1)="1",NOT(MID($D37,2,1)="1"),MID($D37,3,1)="1"))),1,0)</f>
        <v>0</v>
      </c>
      <c r="X37" s="46" t="str">
        <f>T37&amp;U37&amp;V37&amp;W37</f>
        <v>0000</v>
      </c>
      <c r="Y37" s="30" t="str">
        <f>IFERROR(INDEX(ALUCtrl_Key!$B$5:$B$20,MATCH(X37,ALUCtrl_Key!$A$5:$A$20,0)),"?")</f>
        <v>add</v>
      </c>
      <c r="Z37" s="30" t="str">
        <f>IF(H37="00","rs1 (s_read1)",IF(H37="01","PC (s_pc_out)","0"))</f>
        <v>0</v>
      </c>
      <c r="AA37" s="30" t="str">
        <f>IF(I37="1","immediate (s_immgen)","rs2 (s_read2)")</f>
        <v>immediate (s_immgen)</v>
      </c>
      <c r="AB37" s="30" t="str">
        <f>IF(R37="1","PC (held)",IF(Q37="1","(rs1 + imm) with bit 0 cleared",IF(P37="1","PC + imm",IF(O37="1","PC + imm if taken, else PC + 4","PC + 4"))))</f>
        <v>PC + 4</v>
      </c>
      <c r="AC37" s="30" t="str">
        <f>IF(J37="0","nothing",IF(N37="1","PC + 4",IF(M37="1","load data (LOAD_U)","ALU result")))</f>
        <v>ALU result</v>
      </c>
      <c r="AD37" s="29"/>
      <c r="AE37" s="29" t="s">
        <v>170</v>
      </c>
    </row>
    <row r="38" spans="1:31" x14ac:dyDescent="0.2">
      <c r="A38" s="55" t="s">
        <v>171</v>
      </c>
      <c r="B38" s="45" t="s">
        <v>168</v>
      </c>
      <c r="C38" s="45" t="s">
        <v>172</v>
      </c>
      <c r="D38" s="45" t="s">
        <v>162</v>
      </c>
      <c r="E38" s="45" t="s">
        <v>145</v>
      </c>
      <c r="F38" s="45" t="s">
        <v>109</v>
      </c>
      <c r="G38" s="45" t="s">
        <v>94</v>
      </c>
      <c r="H38" s="45" t="s">
        <v>146</v>
      </c>
      <c r="I38" s="45" t="s">
        <v>95</v>
      </c>
      <c r="J38" s="45" t="s">
        <v>95</v>
      </c>
      <c r="K38" s="45" t="s">
        <v>92</v>
      </c>
      <c r="L38" s="45" t="s">
        <v>92</v>
      </c>
      <c r="M38" s="45" t="s">
        <v>92</v>
      </c>
      <c r="N38" s="45" t="s">
        <v>92</v>
      </c>
      <c r="O38" s="45" t="s">
        <v>92</v>
      </c>
      <c r="P38" s="45" t="s">
        <v>92</v>
      </c>
      <c r="Q38" s="45" t="s">
        <v>92</v>
      </c>
      <c r="R38" s="45" t="s">
        <v>92</v>
      </c>
      <c r="S38" s="45" t="s">
        <v>168</v>
      </c>
      <c r="T38" s="46">
        <f>IF(AND(MID($G38,1,1)="1",OR(MID($D38,1,1)="1",AND(NOT(MID($D38,2,1)="1"),MID($D38,3,1)="1"))),1,0)</f>
        <v>0</v>
      </c>
      <c r="U38" s="46">
        <f>IF(AND(MID($G38,1,1)="1",OR(AND(NOT(MID($D38,1,1)="1"),MID($D38,2,1)="1"),AND(NOT(MID($D38,2,1)="1"),MID($D38,3,1)="1"))),1,0)</f>
        <v>0</v>
      </c>
      <c r="V38" s="46">
        <f>IF(OR(AND(NOT(MID($D38,1,1)="1"),MID($D38,2,1)="1",MID($D38,3,1)="1"),AND(MID($D38,1,1)="1",NOT(MID($D38,2,1)="1"),NOT(MID($D38,3,1)="1")),AND(MID($D38,1,1)="1",NOT(MID($D38,2,1)="1"),MID($D38,3,1)="1",$F38="1")),1,0)</f>
        <v>0</v>
      </c>
      <c r="W38" s="46">
        <f>IF(AND(MID($G38,1,1)="1",OR(AND(NOT(MID($D38,1,1)="1"),MID($D38,2,1)="1"),AND(MID($D38,2,1)="1",NOT(MID($D38,3,1)="1")),AND(NOT(MID($D38,1,1)="1"),NOT(MID($D38,2,1)="1"),NOT(MID($D38,3,1)="1"),$F38="1",NOT(MID($G38,2,1)="1")),AND(MID($D38,1,1)="1",NOT(MID($D38,2,1)="1"),MID($D38,3,1)="1"))),1,0)</f>
        <v>0</v>
      </c>
      <c r="X38" s="46" t="str">
        <f>T38&amp;U38&amp;V38&amp;W38</f>
        <v>0000</v>
      </c>
      <c r="Y38" s="30" t="str">
        <f>IFERROR(INDEX(ALUCtrl_Key!$B$5:$B$20,MATCH(X38,ALUCtrl_Key!$A$5:$A$20,0)),"?")</f>
        <v>add</v>
      </c>
      <c r="Z38" s="30" t="str">
        <f>IF(H38="00","rs1 (s_read1)",IF(H38="01","PC (s_pc_out)","0"))</f>
        <v>PC (s_pc_out)</v>
      </c>
      <c r="AA38" s="30" t="str">
        <f>IF(I38="1","immediate (s_immgen)","rs2 (s_read2)")</f>
        <v>immediate (s_immgen)</v>
      </c>
      <c r="AB38" s="30" t="str">
        <f>IF(R38="1","PC (held)",IF(Q38="1","(rs1 + imm) with bit 0 cleared",IF(P38="1","PC + imm",IF(O38="1","PC + imm if taken, else PC + 4","PC + 4"))))</f>
        <v>PC + 4</v>
      </c>
      <c r="AC38" s="30" t="str">
        <f>IF(J38="0","nothing",IF(N38="1","PC + 4",IF(M38="1","load data (LOAD_U)","ALU result")))</f>
        <v>ALU result</v>
      </c>
      <c r="AD38" s="29"/>
      <c r="AE38" s="29" t="s">
        <v>170</v>
      </c>
    </row>
    <row r="39" spans="1:31" x14ac:dyDescent="0.2">
      <c r="A39" s="56" t="s">
        <v>173</v>
      </c>
      <c r="B39" s="47" t="s">
        <v>174</v>
      </c>
      <c r="C39" s="47" t="s">
        <v>175</v>
      </c>
      <c r="D39" s="47" t="s">
        <v>90</v>
      </c>
      <c r="E39" s="47" t="s">
        <v>176</v>
      </c>
      <c r="F39" s="47" t="s">
        <v>92</v>
      </c>
      <c r="G39" s="47" t="s">
        <v>94</v>
      </c>
      <c r="H39" s="47" t="s">
        <v>94</v>
      </c>
      <c r="I39" s="47" t="s">
        <v>92</v>
      </c>
      <c r="J39" s="47" t="s">
        <v>92</v>
      </c>
      <c r="K39" s="47" t="s">
        <v>92</v>
      </c>
      <c r="L39" s="47" t="s">
        <v>92</v>
      </c>
      <c r="M39" s="47" t="s">
        <v>92</v>
      </c>
      <c r="N39" s="47" t="s">
        <v>92</v>
      </c>
      <c r="O39" s="47" t="s">
        <v>92</v>
      </c>
      <c r="P39" s="47" t="s">
        <v>92</v>
      </c>
      <c r="Q39" s="47" t="s">
        <v>92</v>
      </c>
      <c r="R39" s="47" t="s">
        <v>95</v>
      </c>
      <c r="S39" s="47" t="s">
        <v>96</v>
      </c>
      <c r="T39" s="48">
        <f>IF(AND(MID($G39,1,1)="1",OR(MID($D39,1,1)="1",AND(NOT(MID($D39,2,1)="1"),MID($D39,3,1)="1"))),1,0)</f>
        <v>0</v>
      </c>
      <c r="U39" s="48">
        <f>IF(AND(MID($G39,1,1)="1",OR(AND(NOT(MID($D39,1,1)="1"),MID($D39,2,1)="1"),AND(NOT(MID($D39,2,1)="1"),MID($D39,3,1)="1"))),1,0)</f>
        <v>0</v>
      </c>
      <c r="V39" s="48">
        <f>IF(OR(AND(NOT(MID($D39,1,1)="1"),MID($D39,2,1)="1",MID($D39,3,1)="1"),AND(MID($D39,1,1)="1",NOT(MID($D39,2,1)="1"),NOT(MID($D39,3,1)="1")),AND(MID($D39,1,1)="1",NOT(MID($D39,2,1)="1"),MID($D39,3,1)="1",$F39="1")),1,0)</f>
        <v>0</v>
      </c>
      <c r="W39" s="48">
        <f>IF(AND(MID($G39,1,1)="1",OR(AND(NOT(MID($D39,1,1)="1"),MID($D39,2,1)="1"),AND(MID($D39,2,1)="1",NOT(MID($D39,3,1)="1")),AND(NOT(MID($D39,1,1)="1"),NOT(MID($D39,2,1)="1"),NOT(MID($D39,3,1)="1"),$F39="1",NOT(MID($G39,2,1)="1")),AND(MID($D39,1,1)="1",NOT(MID($D39,2,1)="1"),MID($D39,3,1)="1"))),1,0)</f>
        <v>0</v>
      </c>
      <c r="X39" s="48" t="str">
        <f>T39&amp;U39&amp;V39&amp;W39</f>
        <v>0000</v>
      </c>
      <c r="Y39" s="32" t="str">
        <f>IFERROR(INDEX(ALUCtrl_Key!$B$5:$B$20,MATCH(X39,ALUCtrl_Key!$A$5:$A$20,0)),"?")</f>
        <v>add</v>
      </c>
      <c r="Z39" s="32" t="str">
        <f>IF(H39="00","rs1 (s_read1)",IF(H39="01","PC (s_pc_out)","0"))</f>
        <v>rs1 (s_read1)</v>
      </c>
      <c r="AA39" s="32" t="str">
        <f>IF(I39="1","immediate (s_immgen)","rs2 (s_read2)")</f>
        <v>rs2 (s_read2)</v>
      </c>
      <c r="AB39" s="32" t="str">
        <f>IF(R39="1","PC (held)",IF(Q39="1","(rs1 + imm) with bit 0 cleared",IF(P39="1","PC + imm",IF(O39="1","PC + imm if taken, else PC + 4","PC + 4"))))</f>
        <v>PC (held)</v>
      </c>
      <c r="AC39" s="32" t="str">
        <f>IF(J39="0","nothing",IF(N39="1","PC + 4",IF(M39="1","load data (LOAD_U)","ALU result")))</f>
        <v>nothing</v>
      </c>
      <c r="AD39" s="31" t="s">
        <v>177</v>
      </c>
      <c r="AE39" s="31" t="s">
        <v>178</v>
      </c>
    </row>
  </sheetData>
  <mergeCells count="4">
    <mergeCell ref="A1:F1"/>
    <mergeCell ref="G1:R1"/>
    <mergeCell ref="T1:Y1"/>
    <mergeCell ref="Z1:AD1"/>
  </mergeCells>
  <conditionalFormatting sqref="J3:R39">
    <cfRule type="cellIs" dxfId="0" priority="1" stopIfTrue="1" operator="equal">
      <formula>"1"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2EAC-5129-476A-8661-457C0B074147}">
  <dimension ref="A1:E27"/>
  <sheetViews>
    <sheetView workbookViewId="0"/>
  </sheetViews>
  <sheetFormatPr defaultRowHeight="12.75" x14ac:dyDescent="0.2"/>
  <cols>
    <col min="1" max="1" width="10.7109375" style="3" customWidth="1"/>
    <col min="2" max="2" width="44.7109375" style="1" customWidth="1"/>
    <col min="3" max="3" width="3.7109375" style="1" customWidth="1"/>
    <col min="4" max="4" width="12.7109375" style="1" customWidth="1"/>
    <col min="5" max="5" width="100.7109375" style="1" customWidth="1"/>
    <col min="6" max="16384" width="9.140625" style="1"/>
  </cols>
  <sheetData>
    <row r="1" spans="1:5" ht="16.5" x14ac:dyDescent="0.25">
      <c r="A1" s="2" t="s">
        <v>0</v>
      </c>
    </row>
    <row r="2" spans="1:5" x14ac:dyDescent="0.2">
      <c r="A2" s="3" t="s">
        <v>1</v>
      </c>
    </row>
    <row r="4" spans="1:5" x14ac:dyDescent="0.2">
      <c r="A4" s="5" t="s">
        <v>2</v>
      </c>
      <c r="B4" s="6" t="s">
        <v>3</v>
      </c>
      <c r="D4" s="6" t="s">
        <v>36</v>
      </c>
      <c r="E4" s="6" t="s">
        <v>37</v>
      </c>
    </row>
    <row r="5" spans="1:5" x14ac:dyDescent="0.2">
      <c r="A5" s="7" t="s">
        <v>4</v>
      </c>
      <c r="B5" s="8" t="s">
        <v>5</v>
      </c>
      <c r="D5" s="8" t="s">
        <v>38</v>
      </c>
      <c r="E5" s="8" t="s">
        <v>39</v>
      </c>
    </row>
    <row r="6" spans="1:5" x14ac:dyDescent="0.2">
      <c r="A6" s="7" t="s">
        <v>6</v>
      </c>
      <c r="B6" s="8" t="s">
        <v>7</v>
      </c>
      <c r="D6" s="8" t="s">
        <v>40</v>
      </c>
      <c r="E6" s="8" t="s">
        <v>41</v>
      </c>
    </row>
    <row r="7" spans="1:5" x14ac:dyDescent="0.2">
      <c r="A7" s="7" t="s">
        <v>8</v>
      </c>
      <c r="B7" s="8" t="s">
        <v>9</v>
      </c>
      <c r="D7" s="8" t="s">
        <v>42</v>
      </c>
      <c r="E7" s="8" t="s">
        <v>43</v>
      </c>
    </row>
    <row r="8" spans="1:5" x14ac:dyDescent="0.2">
      <c r="A8" s="7" t="s">
        <v>10</v>
      </c>
      <c r="B8" s="8" t="s">
        <v>11</v>
      </c>
      <c r="D8" s="8" t="s">
        <v>44</v>
      </c>
      <c r="E8" s="8" t="s">
        <v>45</v>
      </c>
    </row>
    <row r="9" spans="1:5" x14ac:dyDescent="0.2">
      <c r="A9" s="7" t="s">
        <v>12</v>
      </c>
      <c r="B9" s="8" t="s">
        <v>13</v>
      </c>
      <c r="D9" s="8" t="s">
        <v>46</v>
      </c>
      <c r="E9" s="8" t="s">
        <v>47</v>
      </c>
    </row>
    <row r="10" spans="1:5" x14ac:dyDescent="0.2">
      <c r="A10" s="7" t="s">
        <v>14</v>
      </c>
      <c r="B10" s="8" t="s">
        <v>15</v>
      </c>
      <c r="D10" s="8" t="s">
        <v>48</v>
      </c>
      <c r="E10" s="8" t="s">
        <v>49</v>
      </c>
    </row>
    <row r="11" spans="1:5" x14ac:dyDescent="0.2">
      <c r="A11" s="7" t="s">
        <v>16</v>
      </c>
      <c r="B11" s="8" t="s">
        <v>17</v>
      </c>
      <c r="D11" s="8" t="s">
        <v>50</v>
      </c>
      <c r="E11" s="8" t="s">
        <v>51</v>
      </c>
    </row>
    <row r="12" spans="1:5" x14ac:dyDescent="0.2">
      <c r="A12" s="7" t="s">
        <v>18</v>
      </c>
      <c r="B12" s="8" t="s">
        <v>19</v>
      </c>
      <c r="D12" s="8" t="s">
        <v>52</v>
      </c>
      <c r="E12" s="8" t="s">
        <v>53</v>
      </c>
    </row>
    <row r="13" spans="1:5" x14ac:dyDescent="0.2">
      <c r="A13" s="7" t="s">
        <v>20</v>
      </c>
      <c r="B13" s="8" t="s">
        <v>21</v>
      </c>
      <c r="D13" s="8" t="s">
        <v>54</v>
      </c>
      <c r="E13" s="8" t="s">
        <v>55</v>
      </c>
    </row>
    <row r="14" spans="1:5" x14ac:dyDescent="0.2">
      <c r="A14" s="7" t="s">
        <v>22</v>
      </c>
      <c r="B14" s="8" t="s">
        <v>23</v>
      </c>
      <c r="D14" s="8" t="s">
        <v>56</v>
      </c>
      <c r="E14" s="8" t="s">
        <v>57</v>
      </c>
    </row>
    <row r="15" spans="1:5" x14ac:dyDescent="0.2">
      <c r="A15" s="7" t="s">
        <v>24</v>
      </c>
      <c r="B15" s="8" t="s">
        <v>25</v>
      </c>
      <c r="D15" s="8" t="s">
        <v>58</v>
      </c>
      <c r="E15" s="8" t="s">
        <v>59</v>
      </c>
    </row>
    <row r="16" spans="1:5" x14ac:dyDescent="0.2">
      <c r="A16" s="7" t="s">
        <v>26</v>
      </c>
      <c r="B16" s="8" t="s">
        <v>27</v>
      </c>
      <c r="D16" s="8" t="s">
        <v>60</v>
      </c>
      <c r="E16" s="8" t="s">
        <v>61</v>
      </c>
    </row>
    <row r="17" spans="1:2" x14ac:dyDescent="0.2">
      <c r="A17" s="7" t="s">
        <v>28</v>
      </c>
      <c r="B17" s="8" t="s">
        <v>29</v>
      </c>
    </row>
    <row r="18" spans="1:2" x14ac:dyDescent="0.2">
      <c r="A18" s="7" t="s">
        <v>30</v>
      </c>
      <c r="B18" s="8" t="s">
        <v>31</v>
      </c>
    </row>
    <row r="19" spans="1:2" x14ac:dyDescent="0.2">
      <c r="A19" s="7" t="s">
        <v>32</v>
      </c>
      <c r="B19" s="8" t="s">
        <v>33</v>
      </c>
    </row>
    <row r="20" spans="1:2" x14ac:dyDescent="0.2">
      <c r="A20" s="7" t="s">
        <v>34</v>
      </c>
      <c r="B20" s="8" t="s">
        <v>35</v>
      </c>
    </row>
    <row r="23" spans="1:2" x14ac:dyDescent="0.2">
      <c r="A23" s="4" t="s">
        <v>62</v>
      </c>
    </row>
    <row r="24" spans="1:2" x14ac:dyDescent="0.2">
      <c r="A24" s="3" t="s">
        <v>63</v>
      </c>
    </row>
    <row r="25" spans="1:2" x14ac:dyDescent="0.2">
      <c r="A25" s="3" t="s">
        <v>64</v>
      </c>
    </row>
    <row r="26" spans="1:2" x14ac:dyDescent="0.2">
      <c r="A26" s="3" t="s">
        <v>65</v>
      </c>
    </row>
    <row r="27" spans="1:2" x14ac:dyDescent="0.2">
      <c r="A27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Map</vt:lpstr>
      <vt:lpstr>ALUCtrl_Key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Adrowski, Justin E</dc:creator>
  <cp:lastModifiedBy>Adrowski, Justin E</cp:lastModifiedBy>
  <dcterms:created xsi:type="dcterms:W3CDTF">2026-10-15T20:37:21Z</dcterms:created>
  <dcterms:modified xsi:type="dcterms:W3CDTF">2026-10-15T20:37:26Z</dcterms:modified>
</cp:coreProperties>
</file>